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pivotTables/pivotTable3.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ink/ink10.xml" ContentType="application/inkml+xml"/>
  <Override PartName="/xl/ink/ink11.xml" ContentType="application/inkml+xml"/>
  <Override PartName="/xl/ink/ink12.xml" ContentType="application/inkml+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Tejpal Singh\Downloads\"/>
    </mc:Choice>
  </mc:AlternateContent>
  <xr:revisionPtr revIDLastSave="0" documentId="8_{DCBA3795-E50D-4612-8E4D-01061DEC21E3}" xr6:coauthVersionLast="47" xr6:coauthVersionMax="47" xr10:uidLastSave="{00000000-0000-0000-0000-000000000000}"/>
  <bookViews>
    <workbookView xWindow="-110" yWindow="-110" windowWidth="19420" windowHeight="11500" activeTab="9" xr2:uid="{989104CD-8C8E-476E-81C3-411FDEB1DD17}"/>
  </bookViews>
  <sheets>
    <sheet name="All_India_Index_Upto_April23 (1" sheetId="1" r:id="rId1"/>
    <sheet name="CPI_Cleaned Dataset" sheetId="2" r:id="rId2"/>
    <sheet name="Question_1" sheetId="5" r:id="rId3"/>
    <sheet name="Question_2" sheetId="10" r:id="rId4"/>
    <sheet name="Question_3" sheetId="12" r:id="rId5"/>
    <sheet name="Question_4" sheetId="13" r:id="rId6"/>
    <sheet name="Question-5" sheetId="22" r:id="rId7"/>
    <sheet name=" CPI Trend" sheetId="7" r:id="rId8"/>
    <sheet name="Sheet7" sheetId="8" r:id="rId9"/>
    <sheet name="Sheet6" sheetId="20" r:id="rId10"/>
  </sheets>
  <definedNames>
    <definedName name="_xlnm._FilterDatabase" localSheetId="0" hidden="1">'All_India_Index_Upto_April23 (1'!$A$1:$AD$373</definedName>
    <definedName name="_xlnm._FilterDatabase" localSheetId="2" hidden="1">Question_1!$A$14:$D$26</definedName>
    <definedName name="_xlnm._FilterDatabase" localSheetId="4" hidden="1">Question_3!$N$54:$O$66</definedName>
    <definedName name="_xlnm._FilterDatabase" localSheetId="6" hidden="1">'Question-5'!$A$4:$K$92</definedName>
    <definedName name="NativeTimeline_Date">#N/A</definedName>
    <definedName name="Slicer_Covid_Period">#N/A</definedName>
    <definedName name="Slicer_Sector">#N/A</definedName>
    <definedName name="Slicer_Sector1">#N/A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5" l="1" a="1"/>
  <c r="U5" i="22"/>
  <c r="T5" i="22"/>
  <c r="S5" i="22"/>
  <c r="R5" i="22"/>
  <c r="Q5" i="22"/>
  <c r="P5" i="22"/>
  <c r="O5" i="22"/>
  <c r="N5" i="22"/>
  <c r="AH286" i="2"/>
  <c r="U7" i="22"/>
  <c r="U8" i="22"/>
  <c r="U9" i="22"/>
  <c r="U10" i="22"/>
  <c r="U11" i="22"/>
  <c r="U12" i="22"/>
  <c r="U13" i="22"/>
  <c r="U14" i="22"/>
  <c r="U15" i="22"/>
  <c r="U16" i="22"/>
  <c r="U17" i="22"/>
  <c r="U18" i="22"/>
  <c r="U19" i="22"/>
  <c r="U20" i="22"/>
  <c r="U21" i="22"/>
  <c r="U22" i="22"/>
  <c r="U23" i="22"/>
  <c r="U24" i="22"/>
  <c r="U25" i="22"/>
  <c r="U26" i="22"/>
  <c r="U27" i="22"/>
  <c r="U28" i="22"/>
  <c r="U29" i="22"/>
  <c r="U30" i="22"/>
  <c r="U31" i="22"/>
  <c r="U32" i="22"/>
  <c r="U33" i="22"/>
  <c r="U34" i="22"/>
  <c r="U35" i="22"/>
  <c r="U36" i="22"/>
  <c r="U37" i="22"/>
  <c r="U38" i="22"/>
  <c r="U39" i="22"/>
  <c r="U40" i="22"/>
  <c r="U41" i="22"/>
  <c r="U42" i="22"/>
  <c r="U43" i="22"/>
  <c r="U44" i="22"/>
  <c r="U45" i="22"/>
  <c r="U46" i="22"/>
  <c r="U47" i="22"/>
  <c r="U48" i="22"/>
  <c r="U49" i="22"/>
  <c r="U50" i="22"/>
  <c r="U51" i="22"/>
  <c r="U52" i="22"/>
  <c r="U53" i="22"/>
  <c r="U54" i="22"/>
  <c r="U55" i="22"/>
  <c r="U56" i="22"/>
  <c r="U57" i="22"/>
  <c r="U58" i="22"/>
  <c r="U59" i="22"/>
  <c r="U60" i="22"/>
  <c r="U61" i="22"/>
  <c r="U62" i="22"/>
  <c r="U63" i="22"/>
  <c r="U64" i="22"/>
  <c r="U65" i="22"/>
  <c r="U66" i="22"/>
  <c r="U67" i="22"/>
  <c r="U68" i="22"/>
  <c r="U69" i="22"/>
  <c r="U70" i="22"/>
  <c r="U71" i="22"/>
  <c r="U72" i="22"/>
  <c r="U73" i="22"/>
  <c r="U74" i="22"/>
  <c r="U75" i="22"/>
  <c r="U76" i="22"/>
  <c r="U77" i="22"/>
  <c r="U78" i="22"/>
  <c r="U79" i="22"/>
  <c r="U80" i="22"/>
  <c r="U81" i="22"/>
  <c r="U82" i="22"/>
  <c r="U83" i="22"/>
  <c r="U84" i="22"/>
  <c r="U85" i="22"/>
  <c r="U86" i="22"/>
  <c r="U87" i="22"/>
  <c r="U88" i="22"/>
  <c r="U89" i="22"/>
  <c r="U90" i="22"/>
  <c r="U91" i="22"/>
  <c r="U92" i="22"/>
  <c r="U6" i="22"/>
  <c r="T7" i="22"/>
  <c r="T8" i="22"/>
  <c r="T9" i="22"/>
  <c r="T10" i="22"/>
  <c r="T11" i="22"/>
  <c r="T12" i="22"/>
  <c r="T13" i="22"/>
  <c r="T14" i="22"/>
  <c r="T15" i="22"/>
  <c r="T16" i="22"/>
  <c r="T17" i="22"/>
  <c r="T18" i="22"/>
  <c r="T19" i="22"/>
  <c r="T20" i="22"/>
  <c r="T21" i="22"/>
  <c r="T22" i="22"/>
  <c r="T23" i="22"/>
  <c r="T24" i="22"/>
  <c r="T25" i="22"/>
  <c r="T26" i="22"/>
  <c r="T27" i="22"/>
  <c r="T28" i="22"/>
  <c r="T29" i="22"/>
  <c r="T30" i="22"/>
  <c r="T31" i="22"/>
  <c r="T32" i="22"/>
  <c r="T33" i="22"/>
  <c r="T34" i="22"/>
  <c r="T35" i="22"/>
  <c r="T36" i="22"/>
  <c r="T37" i="22"/>
  <c r="T38" i="22"/>
  <c r="T39" i="22"/>
  <c r="T40" i="22"/>
  <c r="T41" i="22"/>
  <c r="T42" i="22"/>
  <c r="T43" i="22"/>
  <c r="T44" i="22"/>
  <c r="T45" i="22"/>
  <c r="T46" i="22"/>
  <c r="T47" i="22"/>
  <c r="T48" i="22"/>
  <c r="T49" i="22"/>
  <c r="T50" i="22"/>
  <c r="T51" i="22"/>
  <c r="T52" i="22"/>
  <c r="T53" i="22"/>
  <c r="T54" i="22"/>
  <c r="T55" i="22"/>
  <c r="T56" i="22"/>
  <c r="T57" i="22"/>
  <c r="T58" i="22"/>
  <c r="T59" i="22"/>
  <c r="T60" i="22"/>
  <c r="T61" i="22"/>
  <c r="T62" i="22"/>
  <c r="T63" i="22"/>
  <c r="T64" i="22"/>
  <c r="T65" i="22"/>
  <c r="T66" i="22"/>
  <c r="T67" i="22"/>
  <c r="T68" i="22"/>
  <c r="T69" i="22"/>
  <c r="T70" i="22"/>
  <c r="T71" i="22"/>
  <c r="T72" i="22"/>
  <c r="T73" i="22"/>
  <c r="T74" i="22"/>
  <c r="T75" i="22"/>
  <c r="T76" i="22"/>
  <c r="T77" i="22"/>
  <c r="T78" i="22"/>
  <c r="T79" i="22"/>
  <c r="T80" i="22"/>
  <c r="T81" i="22"/>
  <c r="T82" i="22"/>
  <c r="T83" i="22"/>
  <c r="T84" i="22"/>
  <c r="T85" i="22"/>
  <c r="T86" i="22"/>
  <c r="T87" i="22"/>
  <c r="T88" i="22"/>
  <c r="T89" i="22"/>
  <c r="T90" i="22"/>
  <c r="T91" i="22"/>
  <c r="T92" i="22"/>
  <c r="T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S52" i="22"/>
  <c r="S53" i="22"/>
  <c r="S54" i="22"/>
  <c r="S55" i="22"/>
  <c r="S56" i="22"/>
  <c r="S57" i="22"/>
  <c r="S58" i="22"/>
  <c r="S59" i="22"/>
  <c r="S60" i="22"/>
  <c r="S61" i="22"/>
  <c r="S62" i="22"/>
  <c r="S63" i="22"/>
  <c r="S64" i="22"/>
  <c r="S65" i="22"/>
  <c r="S66" i="22"/>
  <c r="S67" i="22"/>
  <c r="S68" i="22"/>
  <c r="S69" i="22"/>
  <c r="S70" i="22"/>
  <c r="S71" i="22"/>
  <c r="S72" i="22"/>
  <c r="S73" i="22"/>
  <c r="S74" i="22"/>
  <c r="S75" i="22"/>
  <c r="S76" i="22"/>
  <c r="S77" i="22"/>
  <c r="S78" i="22"/>
  <c r="S79" i="22"/>
  <c r="S80" i="22"/>
  <c r="S81" i="22"/>
  <c r="S82" i="22"/>
  <c r="S83" i="22"/>
  <c r="S84" i="22"/>
  <c r="S85" i="22"/>
  <c r="S86" i="22"/>
  <c r="S87" i="22"/>
  <c r="S88" i="22"/>
  <c r="S89" i="22"/>
  <c r="S90" i="22"/>
  <c r="S91" i="22"/>
  <c r="S92" i="22"/>
  <c r="S6" i="22"/>
  <c r="R7" i="22"/>
  <c r="R8" i="22"/>
  <c r="R9" i="22"/>
  <c r="R10" i="22"/>
  <c r="R11" i="22"/>
  <c r="R12" i="22"/>
  <c r="R13" i="22"/>
  <c r="R14" i="22"/>
  <c r="R15" i="22"/>
  <c r="R16" i="22"/>
  <c r="R17" i="22"/>
  <c r="R18" i="22"/>
  <c r="R19" i="22"/>
  <c r="R20" i="22"/>
  <c r="R21" i="22"/>
  <c r="R22" i="22"/>
  <c r="R23" i="22"/>
  <c r="R24" i="22"/>
  <c r="R25" i="22"/>
  <c r="R26" i="22"/>
  <c r="R27" i="22"/>
  <c r="R28" i="22"/>
  <c r="R29" i="22"/>
  <c r="R30" i="22"/>
  <c r="R31" i="22"/>
  <c r="R32" i="22"/>
  <c r="R33" i="22"/>
  <c r="R34" i="22"/>
  <c r="R35" i="22"/>
  <c r="R36" i="22"/>
  <c r="R37" i="22"/>
  <c r="R38" i="22"/>
  <c r="R39" i="22"/>
  <c r="R40" i="22"/>
  <c r="R41" i="22"/>
  <c r="R42" i="22"/>
  <c r="R43" i="22"/>
  <c r="R44" i="22"/>
  <c r="R45" i="22"/>
  <c r="R46" i="22"/>
  <c r="R47" i="22"/>
  <c r="R48" i="22"/>
  <c r="R49" i="22"/>
  <c r="R50" i="22"/>
  <c r="R51" i="22"/>
  <c r="R52" i="22"/>
  <c r="R53" i="22"/>
  <c r="R54" i="22"/>
  <c r="R55" i="22"/>
  <c r="R56" i="22"/>
  <c r="R57" i="22"/>
  <c r="R58" i="22"/>
  <c r="R59" i="22"/>
  <c r="R60" i="22"/>
  <c r="R61" i="22"/>
  <c r="R62" i="22"/>
  <c r="R63" i="22"/>
  <c r="R64" i="22"/>
  <c r="R65" i="22"/>
  <c r="R66" i="22"/>
  <c r="R67" i="22"/>
  <c r="R68" i="22"/>
  <c r="R69" i="22"/>
  <c r="R70" i="22"/>
  <c r="R71" i="22"/>
  <c r="R72" i="22"/>
  <c r="R73" i="22"/>
  <c r="R74" i="22"/>
  <c r="R75" i="22"/>
  <c r="R76" i="22"/>
  <c r="R77" i="22"/>
  <c r="R78" i="22"/>
  <c r="R79" i="22"/>
  <c r="R80" i="22"/>
  <c r="R81" i="22"/>
  <c r="R82" i="22"/>
  <c r="R83" i="22"/>
  <c r="R84" i="22"/>
  <c r="R85" i="22"/>
  <c r="R86" i="22"/>
  <c r="R87" i="22"/>
  <c r="R88" i="22"/>
  <c r="R89" i="22"/>
  <c r="R90" i="22"/>
  <c r="R91" i="22"/>
  <c r="R92" i="22"/>
  <c r="R6" i="22"/>
  <c r="Q7" i="22"/>
  <c r="Q8" i="22"/>
  <c r="Q9" i="22"/>
  <c r="Q10" i="22"/>
  <c r="Q11" i="22"/>
  <c r="Q12" i="22"/>
  <c r="Q13" i="22"/>
  <c r="Q14" i="22"/>
  <c r="Q15" i="22"/>
  <c r="Q16" i="22"/>
  <c r="Q17" i="22"/>
  <c r="Q18" i="22"/>
  <c r="Q19" i="22"/>
  <c r="Q20" i="22"/>
  <c r="Q21" i="22"/>
  <c r="Q22" i="22"/>
  <c r="Q23" i="22"/>
  <c r="Q24" i="22"/>
  <c r="Q25" i="22"/>
  <c r="Q26" i="22"/>
  <c r="Q27" i="22"/>
  <c r="Q28" i="22"/>
  <c r="Q29" i="22"/>
  <c r="Q30" i="22"/>
  <c r="Q31" i="22"/>
  <c r="Q32" i="22"/>
  <c r="Q33" i="22"/>
  <c r="Q34" i="22"/>
  <c r="Q35" i="22"/>
  <c r="Q36" i="22"/>
  <c r="Q37" i="22"/>
  <c r="Q38" i="22"/>
  <c r="Q39" i="22"/>
  <c r="Q40" i="22"/>
  <c r="Q41" i="22"/>
  <c r="Q42" i="22"/>
  <c r="Q43" i="22"/>
  <c r="Q44" i="22"/>
  <c r="Q45" i="22"/>
  <c r="Q46" i="22"/>
  <c r="Q47" i="22"/>
  <c r="Q48" i="22"/>
  <c r="Q49" i="22"/>
  <c r="Q50" i="22"/>
  <c r="Q51" i="22"/>
  <c r="Q52" i="22"/>
  <c r="Q53" i="22"/>
  <c r="Q54" i="22"/>
  <c r="Q55" i="22"/>
  <c r="Q56" i="22"/>
  <c r="Q57" i="22"/>
  <c r="Q58" i="22"/>
  <c r="Q59" i="22"/>
  <c r="Q60" i="22"/>
  <c r="Q61" i="22"/>
  <c r="Q62" i="22"/>
  <c r="Q63" i="22"/>
  <c r="Q64" i="22"/>
  <c r="Q65" i="22"/>
  <c r="Q66" i="22"/>
  <c r="Q67" i="22"/>
  <c r="Q68" i="22"/>
  <c r="Q69" i="22"/>
  <c r="Q70" i="22"/>
  <c r="Q71" i="22"/>
  <c r="Q72" i="22"/>
  <c r="Q73" i="22"/>
  <c r="Q74" i="22"/>
  <c r="Q75" i="22"/>
  <c r="Q76" i="22"/>
  <c r="Q77" i="22"/>
  <c r="Q78" i="22"/>
  <c r="Q79" i="22"/>
  <c r="Q80" i="22"/>
  <c r="Q81" i="22"/>
  <c r="Q82" i="22"/>
  <c r="Q83" i="22"/>
  <c r="Q84" i="22"/>
  <c r="Q85" i="22"/>
  <c r="Q86" i="22"/>
  <c r="Q87" i="22"/>
  <c r="Q88" i="22"/>
  <c r="Q89" i="22"/>
  <c r="Q90" i="22"/>
  <c r="Q91" i="22"/>
  <c r="Q92" i="22"/>
  <c r="Q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P52" i="22"/>
  <c r="P53" i="22"/>
  <c r="P54" i="22"/>
  <c r="P55" i="22"/>
  <c r="P56" i="22"/>
  <c r="P57" i="22"/>
  <c r="P58" i="22"/>
  <c r="P59" i="22"/>
  <c r="P60" i="22"/>
  <c r="P61" i="22"/>
  <c r="P62" i="22"/>
  <c r="P63" i="22"/>
  <c r="P64" i="22"/>
  <c r="P65" i="22"/>
  <c r="P66" i="22"/>
  <c r="P67" i="22"/>
  <c r="P68" i="22"/>
  <c r="P69" i="22"/>
  <c r="P70" i="22"/>
  <c r="P71" i="22"/>
  <c r="P72" i="22"/>
  <c r="P73" i="22"/>
  <c r="P74" i="22"/>
  <c r="P75" i="22"/>
  <c r="P76" i="22"/>
  <c r="P77" i="22"/>
  <c r="P78" i="22"/>
  <c r="P79" i="22"/>
  <c r="P80" i="22"/>
  <c r="P81" i="22"/>
  <c r="P82" i="22"/>
  <c r="P83" i="22"/>
  <c r="P84" i="22"/>
  <c r="P85" i="22"/>
  <c r="P86" i="22"/>
  <c r="P87" i="22"/>
  <c r="P88" i="22"/>
  <c r="P89" i="22"/>
  <c r="P90" i="22"/>
  <c r="P91" i="22"/>
  <c r="P92" i="22"/>
  <c r="P6" i="22"/>
  <c r="O7" i="22"/>
  <c r="O8" i="22"/>
  <c r="O9" i="22"/>
  <c r="O10" i="22"/>
  <c r="O11" i="22"/>
  <c r="O12" i="22"/>
  <c r="O13" i="22"/>
  <c r="O14" i="22"/>
  <c r="O15" i="22"/>
  <c r="O16" i="22"/>
  <c r="O17" i="22"/>
  <c r="O18" i="22"/>
  <c r="O19" i="22"/>
  <c r="O20" i="22"/>
  <c r="O21" i="22"/>
  <c r="O22" i="22"/>
  <c r="O23" i="22"/>
  <c r="O24" i="22"/>
  <c r="O25" i="22"/>
  <c r="O26" i="22"/>
  <c r="O27" i="22"/>
  <c r="O28" i="22"/>
  <c r="O29" i="22"/>
  <c r="O30" i="22"/>
  <c r="O31" i="22"/>
  <c r="O32" i="22"/>
  <c r="O33" i="22"/>
  <c r="O34" i="22"/>
  <c r="O35" i="22"/>
  <c r="O36" i="22"/>
  <c r="O37" i="22"/>
  <c r="O38" i="22"/>
  <c r="O39" i="22"/>
  <c r="O40" i="22"/>
  <c r="O41" i="22"/>
  <c r="O42" i="22"/>
  <c r="O43" i="22"/>
  <c r="O44" i="22"/>
  <c r="O45" i="22"/>
  <c r="O46" i="22"/>
  <c r="O47" i="22"/>
  <c r="O48" i="22"/>
  <c r="O49" i="22"/>
  <c r="O50" i="22"/>
  <c r="O51" i="22"/>
  <c r="O52" i="22"/>
  <c r="O53" i="22"/>
  <c r="O54" i="22"/>
  <c r="O55" i="22"/>
  <c r="O56" i="22"/>
  <c r="O57" i="22"/>
  <c r="O58" i="22"/>
  <c r="O59" i="22"/>
  <c r="O60" i="22"/>
  <c r="O61" i="22"/>
  <c r="O62" i="22"/>
  <c r="O63" i="22"/>
  <c r="O64" i="22"/>
  <c r="O65" i="22"/>
  <c r="O66" i="22"/>
  <c r="O67" i="22"/>
  <c r="O68" i="22"/>
  <c r="O69" i="22"/>
  <c r="O70" i="22"/>
  <c r="O71" i="22"/>
  <c r="O72" i="22"/>
  <c r="O73" i="22"/>
  <c r="O74" i="22"/>
  <c r="O75" i="22"/>
  <c r="O76" i="22"/>
  <c r="O77" i="22"/>
  <c r="O78" i="22"/>
  <c r="O79" i="22"/>
  <c r="O80" i="22"/>
  <c r="O81" i="22"/>
  <c r="O82" i="22"/>
  <c r="O83" i="22"/>
  <c r="O84" i="22"/>
  <c r="O85" i="22"/>
  <c r="O86" i="22"/>
  <c r="O87" i="22"/>
  <c r="O88" i="22"/>
  <c r="O89" i="22"/>
  <c r="O90" i="22"/>
  <c r="O91" i="22"/>
  <c r="O92" i="22"/>
  <c r="O6" i="22"/>
  <c r="N7" i="22"/>
  <c r="N8" i="22"/>
  <c r="N9" i="22"/>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N36" i="22"/>
  <c r="N37" i="22"/>
  <c r="N38" i="22"/>
  <c r="N39" i="22"/>
  <c r="N40" i="22"/>
  <c r="N41" i="22"/>
  <c r="N42" i="22"/>
  <c r="N43" i="22"/>
  <c r="N44" i="22"/>
  <c r="N45" i="22"/>
  <c r="N46" i="22"/>
  <c r="N47" i="22"/>
  <c r="N48" i="22"/>
  <c r="N49" i="22"/>
  <c r="N50" i="22"/>
  <c r="N51" i="22"/>
  <c r="N52" i="22"/>
  <c r="N53" i="22"/>
  <c r="N54" i="22"/>
  <c r="N55" i="22"/>
  <c r="N56" i="22"/>
  <c r="N57" i="22"/>
  <c r="N58" i="22"/>
  <c r="N59" i="22"/>
  <c r="N60" i="22"/>
  <c r="N61" i="22"/>
  <c r="N62" i="22"/>
  <c r="N63" i="22"/>
  <c r="N64" i="22"/>
  <c r="N65" i="22"/>
  <c r="N66" i="22"/>
  <c r="N67" i="22"/>
  <c r="N68" i="22"/>
  <c r="N69" i="22"/>
  <c r="N70" i="22"/>
  <c r="N71" i="22"/>
  <c r="N72" i="22"/>
  <c r="N73" i="22"/>
  <c r="N74" i="22"/>
  <c r="N75" i="22"/>
  <c r="N76" i="22"/>
  <c r="N77" i="22"/>
  <c r="N78" i="22"/>
  <c r="N79" i="22"/>
  <c r="N80" i="22"/>
  <c r="N81" i="22"/>
  <c r="N82" i="22"/>
  <c r="N83" i="22"/>
  <c r="N84" i="22"/>
  <c r="N85" i="22"/>
  <c r="N86" i="22"/>
  <c r="N87" i="22"/>
  <c r="N88" i="22"/>
  <c r="N89" i="22"/>
  <c r="N90" i="22"/>
  <c r="N91" i="22"/>
  <c r="N92" i="22"/>
  <c r="N6" i="22"/>
  <c r="P5" i="13" l="1"/>
  <c r="R33" i="13"/>
  <c r="R21" i="13"/>
  <c r="R22" i="13"/>
  <c r="R23" i="13"/>
  <c r="R24" i="13"/>
  <c r="R25" i="13"/>
  <c r="R26" i="13"/>
  <c r="R27" i="13"/>
  <c r="R28" i="13"/>
  <c r="R29" i="13"/>
  <c r="R30" i="13"/>
  <c r="R31" i="13"/>
  <c r="R32" i="13"/>
  <c r="R34" i="13"/>
  <c r="R35" i="13"/>
  <c r="R36" i="13"/>
  <c r="R37" i="13"/>
  <c r="R38" i="13"/>
  <c r="R39" i="13"/>
  <c r="R40" i="13"/>
  <c r="R41" i="13"/>
  <c r="R42" i="13"/>
  <c r="R43" i="13"/>
  <c r="R44" i="13"/>
  <c r="R45" i="13"/>
  <c r="R46" i="13"/>
  <c r="R47" i="13"/>
  <c r="R48" i="13"/>
  <c r="R49" i="13"/>
  <c r="R50" i="13"/>
  <c r="R51" i="13"/>
  <c r="R52" i="13"/>
  <c r="R53" i="13"/>
  <c r="R54" i="13"/>
  <c r="R55" i="13"/>
  <c r="R56" i="13"/>
  <c r="R20" i="13"/>
  <c r="R9" i="13"/>
  <c r="R10" i="13"/>
  <c r="R11" i="13"/>
  <c r="R12" i="13"/>
  <c r="R13" i="13"/>
  <c r="R14" i="13"/>
  <c r="R15" i="13"/>
  <c r="R16" i="13"/>
  <c r="R17" i="13"/>
  <c r="R18" i="13"/>
  <c r="R8" i="13"/>
  <c r="R5" i="13"/>
  <c r="AD21" i="13"/>
  <c r="AD22" i="13"/>
  <c r="AD23" i="13"/>
  <c r="AD24" i="13"/>
  <c r="AD25" i="13"/>
  <c r="AD26" i="13"/>
  <c r="AD27" i="13"/>
  <c r="AD28" i="13"/>
  <c r="AD29" i="13"/>
  <c r="AD30" i="13"/>
  <c r="AD31" i="13"/>
  <c r="AD32" i="13"/>
  <c r="AD33" i="13"/>
  <c r="AD34" i="13"/>
  <c r="AD35" i="13"/>
  <c r="AD36" i="13"/>
  <c r="AD37" i="13"/>
  <c r="AD38" i="13"/>
  <c r="AD39" i="13"/>
  <c r="AD40" i="13"/>
  <c r="AD41" i="13"/>
  <c r="AD42" i="13"/>
  <c r="AD43" i="13"/>
  <c r="AD44" i="13"/>
  <c r="AD45" i="13"/>
  <c r="AD46" i="13"/>
  <c r="AD47" i="13"/>
  <c r="AD48" i="13"/>
  <c r="AD49" i="13"/>
  <c r="AD50" i="13"/>
  <c r="AD51" i="13"/>
  <c r="AD52" i="13"/>
  <c r="AD53" i="13"/>
  <c r="AD54" i="13"/>
  <c r="AD55" i="13"/>
  <c r="AD56" i="13"/>
  <c r="AD20" i="13"/>
  <c r="AD18" i="13"/>
  <c r="AD9" i="13"/>
  <c r="AD10" i="13"/>
  <c r="AD11" i="13"/>
  <c r="AD12" i="13"/>
  <c r="AD13" i="13"/>
  <c r="AD14" i="13"/>
  <c r="AD15" i="13"/>
  <c r="AD16" i="13"/>
  <c r="AD17" i="13"/>
  <c r="AD8" i="13"/>
  <c r="AD6" i="13"/>
  <c r="AD7" i="13"/>
  <c r="AD5" i="13"/>
  <c r="AB21" i="13"/>
  <c r="AB22" i="13"/>
  <c r="AB23" i="13"/>
  <c r="AB24" i="13"/>
  <c r="AB25" i="13"/>
  <c r="AB26" i="13"/>
  <c r="AB27" i="13"/>
  <c r="AB28" i="13"/>
  <c r="AB29" i="13"/>
  <c r="AB30" i="13"/>
  <c r="AB31" i="13"/>
  <c r="AB32" i="13"/>
  <c r="AB33" i="13"/>
  <c r="AB34" i="13"/>
  <c r="AB35" i="13"/>
  <c r="AB36" i="13"/>
  <c r="AB37" i="13"/>
  <c r="AB38" i="13"/>
  <c r="AB39" i="13"/>
  <c r="AB40" i="13"/>
  <c r="AB41" i="13"/>
  <c r="AB42" i="13"/>
  <c r="AB43" i="13"/>
  <c r="AB44" i="13"/>
  <c r="AB45" i="13"/>
  <c r="AB46" i="13"/>
  <c r="AB47" i="13"/>
  <c r="AB48" i="13"/>
  <c r="AB49" i="13"/>
  <c r="AB50" i="13"/>
  <c r="AB51" i="13"/>
  <c r="AB52" i="13"/>
  <c r="AB53" i="13"/>
  <c r="AB54" i="13"/>
  <c r="AB55" i="13"/>
  <c r="AB56" i="13"/>
  <c r="AB20" i="13"/>
  <c r="AB9" i="13"/>
  <c r="AB10" i="13"/>
  <c r="AB11" i="13"/>
  <c r="AB12" i="13"/>
  <c r="AB13" i="13"/>
  <c r="AB14" i="13"/>
  <c r="AB15" i="13"/>
  <c r="AB16" i="13"/>
  <c r="AB17" i="13"/>
  <c r="AB18" i="13"/>
  <c r="AB8" i="13"/>
  <c r="AB6" i="13"/>
  <c r="AB7" i="13"/>
  <c r="AB5" i="13"/>
  <c r="Z21" i="13"/>
  <c r="Z22" i="13"/>
  <c r="Z23" i="13"/>
  <c r="Z24" i="13"/>
  <c r="Z25" i="13"/>
  <c r="Z26" i="13"/>
  <c r="Z27" i="13"/>
  <c r="Z28" i="13"/>
  <c r="Z29" i="13"/>
  <c r="Z30" i="13"/>
  <c r="Z31" i="13"/>
  <c r="Z32" i="13"/>
  <c r="Z33" i="13"/>
  <c r="Z34" i="13"/>
  <c r="Z35" i="13"/>
  <c r="Z36" i="13"/>
  <c r="Z37" i="13"/>
  <c r="Z38" i="13"/>
  <c r="Z39" i="13"/>
  <c r="Z40" i="13"/>
  <c r="Z41" i="13"/>
  <c r="Z42" i="13"/>
  <c r="Z43" i="13"/>
  <c r="Z44" i="13"/>
  <c r="Z45" i="13"/>
  <c r="Z46" i="13"/>
  <c r="Z47" i="13"/>
  <c r="Z48" i="13"/>
  <c r="Z49" i="13"/>
  <c r="Z50" i="13"/>
  <c r="Z51" i="13"/>
  <c r="Z52" i="13"/>
  <c r="Z53" i="13"/>
  <c r="Z54" i="13"/>
  <c r="Z55" i="13"/>
  <c r="Z56" i="13"/>
  <c r="V17" i="13"/>
  <c r="V18" i="13"/>
  <c r="V21" i="13"/>
  <c r="V22" i="13"/>
  <c r="V23" i="13"/>
  <c r="V24" i="13"/>
  <c r="V25" i="13"/>
  <c r="V26" i="13"/>
  <c r="V27" i="13"/>
  <c r="V28" i="13"/>
  <c r="V29" i="13"/>
  <c r="V30" i="13"/>
  <c r="V31" i="13"/>
  <c r="V32" i="13"/>
  <c r="V33" i="13"/>
  <c r="V34" i="13"/>
  <c r="V35" i="13"/>
  <c r="V36" i="13"/>
  <c r="V37" i="13"/>
  <c r="V38" i="13"/>
  <c r="V39" i="13"/>
  <c r="V40" i="13"/>
  <c r="V41" i="13"/>
  <c r="V42" i="13"/>
  <c r="V43" i="13"/>
  <c r="V44" i="13"/>
  <c r="V45" i="13"/>
  <c r="V46" i="13"/>
  <c r="V47" i="13"/>
  <c r="V48" i="13"/>
  <c r="V49" i="13"/>
  <c r="V50" i="13"/>
  <c r="V51" i="13"/>
  <c r="V52" i="13"/>
  <c r="V53" i="13"/>
  <c r="V54" i="13"/>
  <c r="V55" i="13"/>
  <c r="V56" i="13"/>
  <c r="V20" i="13"/>
  <c r="X21" i="13"/>
  <c r="X22" i="13"/>
  <c r="X23" i="13"/>
  <c r="X24" i="13"/>
  <c r="X25" i="13"/>
  <c r="X26" i="13"/>
  <c r="X27" i="13"/>
  <c r="X28" i="13"/>
  <c r="X29" i="13"/>
  <c r="X30" i="13"/>
  <c r="X31" i="13"/>
  <c r="X32" i="13"/>
  <c r="X33" i="13"/>
  <c r="X34" i="13"/>
  <c r="X35" i="13"/>
  <c r="X36" i="13"/>
  <c r="X37" i="13"/>
  <c r="X38" i="13"/>
  <c r="X39" i="13"/>
  <c r="X40" i="13"/>
  <c r="X41" i="13"/>
  <c r="X42" i="13"/>
  <c r="X43" i="13"/>
  <c r="X44" i="13"/>
  <c r="X45" i="13"/>
  <c r="X46" i="13"/>
  <c r="X47" i="13"/>
  <c r="X48" i="13"/>
  <c r="X49" i="13"/>
  <c r="X50" i="13"/>
  <c r="X51" i="13"/>
  <c r="X52" i="13"/>
  <c r="X53" i="13"/>
  <c r="X54" i="13"/>
  <c r="X55" i="13"/>
  <c r="X56" i="13"/>
  <c r="X20" i="13"/>
  <c r="Z20" i="13"/>
  <c r="Z9" i="13"/>
  <c r="Z10" i="13"/>
  <c r="Z11" i="13"/>
  <c r="Z12" i="13"/>
  <c r="Z13" i="13"/>
  <c r="Z14" i="13"/>
  <c r="Z15" i="13"/>
  <c r="Z16" i="13"/>
  <c r="Z17" i="13"/>
  <c r="Z18" i="13"/>
  <c r="Z8" i="13"/>
  <c r="Z7" i="13"/>
  <c r="Z6" i="13"/>
  <c r="Z5" i="13"/>
  <c r="X18" i="13"/>
  <c r="X9" i="13"/>
  <c r="X10" i="13"/>
  <c r="X11" i="13"/>
  <c r="X12" i="13"/>
  <c r="X13" i="13"/>
  <c r="X14" i="13"/>
  <c r="X15" i="13"/>
  <c r="X16" i="13"/>
  <c r="X17" i="13"/>
  <c r="X8" i="13"/>
  <c r="X7" i="13"/>
  <c r="X6" i="13"/>
  <c r="X5" i="13"/>
  <c r="V9" i="13"/>
  <c r="V10" i="13"/>
  <c r="V11" i="13"/>
  <c r="V12" i="13"/>
  <c r="V13" i="13"/>
  <c r="V14" i="13"/>
  <c r="V15" i="13"/>
  <c r="V16" i="13"/>
  <c r="V6" i="13"/>
  <c r="V7" i="13"/>
  <c r="V5" i="13"/>
  <c r="V8" i="13"/>
  <c r="T5" i="13"/>
  <c r="T6" i="13"/>
  <c r="D7" i="10" l="1"/>
  <c r="D5" i="10"/>
  <c r="D6" i="10"/>
  <c r="D8" i="10"/>
  <c r="D9" i="10"/>
  <c r="D10" i="10"/>
  <c r="D4" i="10"/>
  <c r="AE5" i="13" l="1"/>
  <c r="AE6" i="13"/>
  <c r="AE7" i="13"/>
  <c r="AE8" i="13"/>
  <c r="AE9" i="13"/>
  <c r="AE10" i="13"/>
  <c r="AE11" i="13"/>
  <c r="AE12" i="13"/>
  <c r="AE13" i="13"/>
  <c r="AE14" i="13"/>
  <c r="AE15" i="13"/>
  <c r="AE16" i="13"/>
  <c r="AE17" i="13"/>
  <c r="AE18" i="13"/>
  <c r="AE19" i="13"/>
  <c r="AE20" i="13"/>
  <c r="AE21" i="13"/>
  <c r="AE22" i="13"/>
  <c r="AE23" i="13"/>
  <c r="AE24" i="13"/>
  <c r="AE25" i="13"/>
  <c r="AE26" i="13"/>
  <c r="AE27" i="13"/>
  <c r="AE28" i="13"/>
  <c r="AE29" i="13"/>
  <c r="AE30" i="13"/>
  <c r="AE31" i="13"/>
  <c r="AE32" i="13"/>
  <c r="AE33" i="13"/>
  <c r="AE34" i="13"/>
  <c r="AE35" i="13"/>
  <c r="AE36" i="13"/>
  <c r="AE37" i="13"/>
  <c r="AE38" i="13"/>
  <c r="AE39" i="13"/>
  <c r="AE40" i="13"/>
  <c r="AE41" i="13"/>
  <c r="AE42" i="13"/>
  <c r="AE43" i="13"/>
  <c r="AE44" i="13"/>
  <c r="AE45" i="13"/>
  <c r="AE46" i="13"/>
  <c r="AE47" i="13"/>
  <c r="AE48" i="13"/>
  <c r="AE49" i="13"/>
  <c r="AE50" i="13"/>
  <c r="AE51" i="13"/>
  <c r="AE52" i="13"/>
  <c r="AE53" i="13"/>
  <c r="AE54" i="13"/>
  <c r="AE55" i="13"/>
  <c r="AE56" i="13"/>
  <c r="T21" i="13"/>
  <c r="T22" i="13"/>
  <c r="T23" i="13"/>
  <c r="T24" i="13"/>
  <c r="T25" i="13"/>
  <c r="T26" i="13"/>
  <c r="T27" i="13"/>
  <c r="T28" i="13"/>
  <c r="T29" i="13"/>
  <c r="T30" i="13"/>
  <c r="T31" i="13"/>
  <c r="T32" i="13"/>
  <c r="T33" i="13"/>
  <c r="T34" i="13"/>
  <c r="T35" i="13"/>
  <c r="T36" i="13"/>
  <c r="T37" i="13"/>
  <c r="T38" i="13"/>
  <c r="T39" i="13"/>
  <c r="T40" i="13"/>
  <c r="T41" i="13"/>
  <c r="T42" i="13"/>
  <c r="T43" i="13"/>
  <c r="T44" i="13"/>
  <c r="T45" i="13"/>
  <c r="T46" i="13"/>
  <c r="T47" i="13"/>
  <c r="T48" i="13"/>
  <c r="T49" i="13"/>
  <c r="T50" i="13"/>
  <c r="T51" i="13"/>
  <c r="T52" i="13"/>
  <c r="T53" i="13"/>
  <c r="T54" i="13"/>
  <c r="T55" i="13"/>
  <c r="T56" i="13"/>
  <c r="T20" i="13"/>
  <c r="T18" i="13"/>
  <c r="T9" i="13"/>
  <c r="T10" i="13"/>
  <c r="T11" i="13"/>
  <c r="T12" i="13"/>
  <c r="T13" i="13"/>
  <c r="T14" i="13"/>
  <c r="T15" i="13"/>
  <c r="T16" i="13"/>
  <c r="T17" i="13"/>
  <c r="T8" i="13"/>
  <c r="T7" i="13"/>
  <c r="R7" i="13"/>
  <c r="R6" i="13"/>
  <c r="P52" i="13"/>
  <c r="P53" i="13"/>
  <c r="P54" i="13"/>
  <c r="P55" i="13"/>
  <c r="P56" i="13"/>
  <c r="P21" i="13"/>
  <c r="P22" i="13"/>
  <c r="P23" i="13"/>
  <c r="P24"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20" i="13"/>
  <c r="P18" i="13"/>
  <c r="P17" i="13"/>
  <c r="P16" i="13"/>
  <c r="P15" i="13"/>
  <c r="P14" i="13"/>
  <c r="P13" i="13"/>
  <c r="P11" i="13"/>
  <c r="P10" i="13"/>
  <c r="P9" i="13"/>
  <c r="P8" i="13"/>
  <c r="P12" i="13"/>
  <c r="P7" i="13"/>
  <c r="P6" i="13"/>
  <c r="N56" i="13"/>
  <c r="N40" i="13"/>
  <c r="N41" i="13"/>
  <c r="N42" i="13"/>
  <c r="N43" i="13"/>
  <c r="N44" i="13"/>
  <c r="N45" i="13"/>
  <c r="N46" i="13"/>
  <c r="N47" i="13"/>
  <c r="N48" i="13"/>
  <c r="N49" i="13"/>
  <c r="N50" i="13"/>
  <c r="N51" i="13"/>
  <c r="N52" i="13"/>
  <c r="N53" i="13"/>
  <c r="N54" i="13"/>
  <c r="N55" i="13"/>
  <c r="N31" i="13"/>
  <c r="N28" i="13"/>
  <c r="N39" i="13"/>
  <c r="N21" i="13"/>
  <c r="N22" i="13"/>
  <c r="N23" i="13"/>
  <c r="N24" i="13"/>
  <c r="N25" i="13"/>
  <c r="N26" i="13"/>
  <c r="N27" i="13"/>
  <c r="N29" i="13"/>
  <c r="N30" i="13"/>
  <c r="N32" i="13"/>
  <c r="N33" i="13"/>
  <c r="N34" i="13"/>
  <c r="N35" i="13"/>
  <c r="N36" i="13"/>
  <c r="N37" i="13"/>
  <c r="N38" i="13"/>
  <c r="N20" i="13"/>
  <c r="N18" i="13"/>
  <c r="N17" i="13"/>
  <c r="N16" i="13"/>
  <c r="N15" i="13"/>
  <c r="N14" i="13"/>
  <c r="N13" i="13"/>
  <c r="N12" i="13"/>
  <c r="N11" i="13"/>
  <c r="N10" i="13"/>
  <c r="N9" i="13"/>
  <c r="N8" i="13"/>
  <c r="N7" i="13"/>
  <c r="N6" i="13"/>
  <c r="N5" i="13"/>
  <c r="F39" i="12" a="1"/>
  <c r="E39" i="12" a="1"/>
  <c r="N8" i="12"/>
  <c r="G16" i="12"/>
  <c r="G15" i="12"/>
  <c r="G14" i="12"/>
  <c r="G13" i="12"/>
  <c r="G12" i="12"/>
  <c r="G11" i="12"/>
  <c r="G10" i="12"/>
  <c r="G9" i="12"/>
  <c r="G8" i="12"/>
  <c r="G7" i="12"/>
  <c r="G6" i="12"/>
  <c r="G5" i="12"/>
  <c r="F6" i="12"/>
  <c r="F7" i="12"/>
  <c r="F8" i="12"/>
  <c r="F9" i="12"/>
  <c r="F10" i="12"/>
  <c r="F11" i="12"/>
  <c r="F12" i="12"/>
  <c r="F13" i="12"/>
  <c r="F14" i="12"/>
  <c r="F15" i="12"/>
  <c r="F16" i="12"/>
  <c r="F5" i="12"/>
  <c r="L83" i="13" l="1"/>
  <c r="N75" i="13"/>
  <c r="L82" i="13"/>
  <c r="M75" i="13"/>
  <c r="N83" i="13"/>
  <c r="L81" i="13"/>
  <c r="N82" i="13"/>
  <c r="L80" i="13"/>
  <c r="N81" i="13"/>
  <c r="L79" i="13"/>
  <c r="K79" i="13"/>
  <c r="K78" i="13"/>
  <c r="K77" i="13"/>
  <c r="M77" i="13"/>
  <c r="K75" i="13"/>
  <c r="N80" i="13"/>
  <c r="L78" i="13"/>
  <c r="N79" i="13"/>
  <c r="L77" i="13"/>
  <c r="N78" i="13"/>
  <c r="L76" i="13"/>
  <c r="N77" i="13"/>
  <c r="L75" i="13"/>
  <c r="N76" i="13"/>
  <c r="K83" i="13"/>
  <c r="M83" i="13"/>
  <c r="O83" i="13" s="1"/>
  <c r="K82" i="13"/>
  <c r="M82" i="13"/>
  <c r="O82" i="13" s="1"/>
  <c r="K81" i="13"/>
  <c r="M81" i="13"/>
  <c r="K80" i="13"/>
  <c r="M80" i="13"/>
  <c r="M79" i="13"/>
  <c r="O79" i="13" s="1"/>
  <c r="M78" i="13"/>
  <c r="K76" i="13"/>
  <c r="M76" i="13"/>
  <c r="H39" i="12"/>
  <c r="G39" i="12"/>
  <c r="G44" i="12"/>
  <c r="G43" i="12"/>
  <c r="G42" i="12"/>
  <c r="G41" i="12"/>
  <c r="G40" i="12"/>
  <c r="H50" i="12"/>
  <c r="H49" i="12"/>
  <c r="H48" i="12"/>
  <c r="G45" i="12"/>
  <c r="H47" i="12"/>
  <c r="H46" i="12"/>
  <c r="H45" i="12"/>
  <c r="G50" i="12"/>
  <c r="H44" i="12"/>
  <c r="G49" i="12"/>
  <c r="H43" i="12"/>
  <c r="G48" i="12"/>
  <c r="H42" i="12"/>
  <c r="G47" i="12"/>
  <c r="H41" i="12"/>
  <c r="G46" i="12"/>
  <c r="H40" i="12"/>
  <c r="B9" i="5"/>
  <c r="D5" i="2"/>
  <c r="AM5" i="2" s="1"/>
  <c r="D2" i="2"/>
  <c r="AM2" i="2" s="1"/>
  <c r="D3" i="2"/>
  <c r="AM3" i="2" s="1"/>
  <c r="D4" i="2"/>
  <c r="AM4" i="2" s="1"/>
  <c r="D6" i="2"/>
  <c r="AM6" i="2" s="1"/>
  <c r="D7" i="2"/>
  <c r="AM7" i="2" s="1"/>
  <c r="D8" i="2"/>
  <c r="AM8" i="2" s="1"/>
  <c r="D9" i="2"/>
  <c r="AM9" i="2" s="1"/>
  <c r="D10" i="2"/>
  <c r="AM10" i="2" s="1"/>
  <c r="D11" i="2"/>
  <c r="AM11" i="2" s="1"/>
  <c r="D12" i="2"/>
  <c r="AM12" i="2" s="1"/>
  <c r="D13" i="2"/>
  <c r="AM13" i="2" s="1"/>
  <c r="D14" i="2"/>
  <c r="AM14" i="2" s="1"/>
  <c r="D15" i="2"/>
  <c r="AM15" i="2" s="1"/>
  <c r="D16" i="2"/>
  <c r="AM16" i="2" s="1"/>
  <c r="D17" i="2"/>
  <c r="AM17" i="2" s="1"/>
  <c r="D18" i="2"/>
  <c r="AM18" i="2" s="1"/>
  <c r="D19" i="2"/>
  <c r="AM19" i="2" s="1"/>
  <c r="D20" i="2"/>
  <c r="AM20" i="2" s="1"/>
  <c r="D21" i="2"/>
  <c r="AM21" i="2" s="1"/>
  <c r="D22" i="2"/>
  <c r="AM22" i="2" s="1"/>
  <c r="D23" i="2"/>
  <c r="AM23" i="2" s="1"/>
  <c r="D24" i="2"/>
  <c r="AM24" i="2" s="1"/>
  <c r="D25" i="2"/>
  <c r="AM25" i="2" s="1"/>
  <c r="D26" i="2"/>
  <c r="AM26" i="2" s="1"/>
  <c r="D27" i="2"/>
  <c r="AM27" i="2" s="1"/>
  <c r="D28" i="2"/>
  <c r="AM28" i="2" s="1"/>
  <c r="D29" i="2"/>
  <c r="AM29" i="2" s="1"/>
  <c r="D30" i="2"/>
  <c r="AM30" i="2" s="1"/>
  <c r="D31" i="2"/>
  <c r="AM31" i="2" s="1"/>
  <c r="D32" i="2"/>
  <c r="AM32" i="2" s="1"/>
  <c r="D33" i="2"/>
  <c r="AM33" i="2" s="1"/>
  <c r="D34" i="2"/>
  <c r="AM34" i="2" s="1"/>
  <c r="D35" i="2"/>
  <c r="AM35" i="2" s="1"/>
  <c r="D36" i="2"/>
  <c r="AM36" i="2" s="1"/>
  <c r="D37" i="2"/>
  <c r="AM37" i="2" s="1"/>
  <c r="D38" i="2"/>
  <c r="AM38" i="2" s="1"/>
  <c r="D39" i="2"/>
  <c r="AM39" i="2" s="1"/>
  <c r="D40" i="2"/>
  <c r="AM40" i="2" s="1"/>
  <c r="D41" i="2"/>
  <c r="AM41" i="2" s="1"/>
  <c r="D42" i="2"/>
  <c r="AM42" i="2" s="1"/>
  <c r="D43" i="2"/>
  <c r="AM43" i="2" s="1"/>
  <c r="D44" i="2"/>
  <c r="AM44" i="2" s="1"/>
  <c r="D45" i="2"/>
  <c r="AM45" i="2" s="1"/>
  <c r="D46" i="2"/>
  <c r="AM46" i="2" s="1"/>
  <c r="D47" i="2"/>
  <c r="AM47" i="2" s="1"/>
  <c r="D48" i="2"/>
  <c r="AM48" i="2" s="1"/>
  <c r="D49" i="2"/>
  <c r="AM49" i="2" s="1"/>
  <c r="D50" i="2"/>
  <c r="AM50" i="2" s="1"/>
  <c r="D51" i="2"/>
  <c r="AM51" i="2" s="1"/>
  <c r="D52" i="2"/>
  <c r="AM52" i="2" s="1"/>
  <c r="D53" i="2"/>
  <c r="AM53" i="2" s="1"/>
  <c r="D54" i="2"/>
  <c r="AM54" i="2" s="1"/>
  <c r="D55" i="2"/>
  <c r="AM55" i="2" s="1"/>
  <c r="D56" i="2"/>
  <c r="AM56" i="2" s="1"/>
  <c r="D57" i="2"/>
  <c r="AM57" i="2" s="1"/>
  <c r="D58" i="2"/>
  <c r="AM58" i="2" s="1"/>
  <c r="D59" i="2"/>
  <c r="AM59" i="2" s="1"/>
  <c r="D60" i="2"/>
  <c r="AM60" i="2" s="1"/>
  <c r="D61" i="2"/>
  <c r="AM61" i="2" s="1"/>
  <c r="D62" i="2"/>
  <c r="AM62" i="2" s="1"/>
  <c r="D63" i="2"/>
  <c r="AM63" i="2" s="1"/>
  <c r="D64" i="2"/>
  <c r="AM64" i="2" s="1"/>
  <c r="D65" i="2"/>
  <c r="AM65" i="2" s="1"/>
  <c r="D66" i="2"/>
  <c r="AM66" i="2" s="1"/>
  <c r="D67" i="2"/>
  <c r="AM67" i="2" s="1"/>
  <c r="D68" i="2"/>
  <c r="AM68" i="2" s="1"/>
  <c r="D69" i="2"/>
  <c r="AM69" i="2" s="1"/>
  <c r="D70" i="2"/>
  <c r="AM70" i="2" s="1"/>
  <c r="D71" i="2"/>
  <c r="AM71" i="2" s="1"/>
  <c r="D72" i="2"/>
  <c r="AM72" i="2" s="1"/>
  <c r="D73" i="2"/>
  <c r="AM73" i="2" s="1"/>
  <c r="D74" i="2"/>
  <c r="AM74" i="2" s="1"/>
  <c r="D75" i="2"/>
  <c r="AM75" i="2" s="1"/>
  <c r="D76" i="2"/>
  <c r="AM76" i="2" s="1"/>
  <c r="D77" i="2"/>
  <c r="AM77" i="2" s="1"/>
  <c r="D78" i="2"/>
  <c r="AM78" i="2" s="1"/>
  <c r="D79" i="2"/>
  <c r="AM79" i="2" s="1"/>
  <c r="D80" i="2"/>
  <c r="AM80" i="2" s="1"/>
  <c r="D81" i="2"/>
  <c r="AM81" i="2" s="1"/>
  <c r="D82" i="2"/>
  <c r="AM82" i="2" s="1"/>
  <c r="D83" i="2"/>
  <c r="AM83" i="2" s="1"/>
  <c r="D84" i="2"/>
  <c r="AM84" i="2" s="1"/>
  <c r="D85" i="2"/>
  <c r="AM85" i="2" s="1"/>
  <c r="D86" i="2"/>
  <c r="AM86" i="2" s="1"/>
  <c r="D87" i="2"/>
  <c r="AM87" i="2" s="1"/>
  <c r="D88" i="2"/>
  <c r="AM88" i="2" s="1"/>
  <c r="D89" i="2"/>
  <c r="AM89" i="2" s="1"/>
  <c r="D90" i="2"/>
  <c r="AM90" i="2" s="1"/>
  <c r="D91" i="2"/>
  <c r="AM91" i="2" s="1"/>
  <c r="D92" i="2"/>
  <c r="AM92" i="2" s="1"/>
  <c r="D93" i="2"/>
  <c r="AM93" i="2" s="1"/>
  <c r="D94" i="2"/>
  <c r="AM94" i="2" s="1"/>
  <c r="D95" i="2"/>
  <c r="AM95" i="2" s="1"/>
  <c r="D96" i="2"/>
  <c r="AM96" i="2" s="1"/>
  <c r="D97" i="2"/>
  <c r="AM97" i="2" s="1"/>
  <c r="D98" i="2"/>
  <c r="AM98" i="2" s="1"/>
  <c r="D99" i="2"/>
  <c r="AM99" i="2" s="1"/>
  <c r="D100" i="2"/>
  <c r="AM100" i="2" s="1"/>
  <c r="D101" i="2"/>
  <c r="AM101" i="2" s="1"/>
  <c r="D102" i="2"/>
  <c r="AM102" i="2" s="1"/>
  <c r="D103" i="2"/>
  <c r="AM103" i="2" s="1"/>
  <c r="D104" i="2"/>
  <c r="AM104" i="2" s="1"/>
  <c r="D105" i="2"/>
  <c r="AM105" i="2" s="1"/>
  <c r="D106" i="2"/>
  <c r="AM106" i="2" s="1"/>
  <c r="D107" i="2"/>
  <c r="AM107" i="2" s="1"/>
  <c r="D108" i="2"/>
  <c r="AM108" i="2" s="1"/>
  <c r="D109" i="2"/>
  <c r="AM109" i="2" s="1"/>
  <c r="D110" i="2"/>
  <c r="AM110" i="2" s="1"/>
  <c r="D111" i="2"/>
  <c r="AM111" i="2" s="1"/>
  <c r="D112" i="2"/>
  <c r="AM112" i="2" s="1"/>
  <c r="D113" i="2"/>
  <c r="AM113" i="2" s="1"/>
  <c r="D114" i="2"/>
  <c r="AM114" i="2" s="1"/>
  <c r="D115" i="2"/>
  <c r="AM115" i="2" s="1"/>
  <c r="D116" i="2"/>
  <c r="AM116" i="2" s="1"/>
  <c r="D117" i="2"/>
  <c r="AM117" i="2" s="1"/>
  <c r="D118" i="2"/>
  <c r="AM118" i="2" s="1"/>
  <c r="D119" i="2"/>
  <c r="AM119" i="2" s="1"/>
  <c r="D120" i="2"/>
  <c r="AM120" i="2" s="1"/>
  <c r="D121" i="2"/>
  <c r="AM121" i="2" s="1"/>
  <c r="D122" i="2"/>
  <c r="AM122" i="2" s="1"/>
  <c r="D123" i="2"/>
  <c r="AM123" i="2" s="1"/>
  <c r="D124" i="2"/>
  <c r="AM124" i="2" s="1"/>
  <c r="D125" i="2"/>
  <c r="AM125" i="2" s="1"/>
  <c r="D126" i="2"/>
  <c r="AM126" i="2" s="1"/>
  <c r="D127" i="2"/>
  <c r="AM127" i="2" s="1"/>
  <c r="D128" i="2"/>
  <c r="AM128" i="2" s="1"/>
  <c r="D129" i="2"/>
  <c r="AM129" i="2" s="1"/>
  <c r="D130" i="2"/>
  <c r="AM130" i="2" s="1"/>
  <c r="D131" i="2"/>
  <c r="AM131" i="2" s="1"/>
  <c r="D132" i="2"/>
  <c r="AM132" i="2" s="1"/>
  <c r="D133" i="2"/>
  <c r="AM133" i="2" s="1"/>
  <c r="D134" i="2"/>
  <c r="AM134" i="2" s="1"/>
  <c r="D135" i="2"/>
  <c r="AM135" i="2" s="1"/>
  <c r="D136" i="2"/>
  <c r="AM136" i="2" s="1"/>
  <c r="D137" i="2"/>
  <c r="AM137" i="2" s="1"/>
  <c r="D138" i="2"/>
  <c r="AM138" i="2" s="1"/>
  <c r="D139" i="2"/>
  <c r="AM139" i="2" s="1"/>
  <c r="D140" i="2"/>
  <c r="AM140" i="2" s="1"/>
  <c r="D141" i="2"/>
  <c r="AM141" i="2" s="1"/>
  <c r="D142" i="2"/>
  <c r="AM142" i="2" s="1"/>
  <c r="D143" i="2"/>
  <c r="AM143" i="2" s="1"/>
  <c r="D144" i="2"/>
  <c r="AM144" i="2" s="1"/>
  <c r="D145" i="2"/>
  <c r="AM145" i="2" s="1"/>
  <c r="D146" i="2"/>
  <c r="AM146" i="2" s="1"/>
  <c r="D147" i="2"/>
  <c r="AM147" i="2" s="1"/>
  <c r="D148" i="2"/>
  <c r="AM148" i="2" s="1"/>
  <c r="D149" i="2"/>
  <c r="AM149" i="2" s="1"/>
  <c r="D150" i="2"/>
  <c r="AM150" i="2" s="1"/>
  <c r="D151" i="2"/>
  <c r="AM151" i="2" s="1"/>
  <c r="D152" i="2"/>
  <c r="AM152" i="2" s="1"/>
  <c r="D153" i="2"/>
  <c r="AM153" i="2" s="1"/>
  <c r="D154" i="2"/>
  <c r="AM154" i="2" s="1"/>
  <c r="D155" i="2"/>
  <c r="AM155" i="2" s="1"/>
  <c r="D156" i="2"/>
  <c r="AM156" i="2" s="1"/>
  <c r="D157" i="2"/>
  <c r="AM157" i="2" s="1"/>
  <c r="D158" i="2"/>
  <c r="AM158" i="2" s="1"/>
  <c r="D159" i="2"/>
  <c r="AM159" i="2" s="1"/>
  <c r="D160" i="2"/>
  <c r="AM160" i="2" s="1"/>
  <c r="D161" i="2"/>
  <c r="AM161" i="2" s="1"/>
  <c r="D162" i="2"/>
  <c r="AM162" i="2" s="1"/>
  <c r="D163" i="2"/>
  <c r="AM163" i="2" s="1"/>
  <c r="D164" i="2"/>
  <c r="AM164" i="2" s="1"/>
  <c r="D165" i="2"/>
  <c r="AM165" i="2" s="1"/>
  <c r="D166" i="2"/>
  <c r="AM166" i="2" s="1"/>
  <c r="D167" i="2"/>
  <c r="AM167" i="2" s="1"/>
  <c r="D168" i="2"/>
  <c r="AM168" i="2" s="1"/>
  <c r="D169" i="2"/>
  <c r="AM169" i="2" s="1"/>
  <c r="D170" i="2"/>
  <c r="AM170" i="2" s="1"/>
  <c r="D171" i="2"/>
  <c r="AM171" i="2" s="1"/>
  <c r="D172" i="2"/>
  <c r="AM172" i="2" s="1"/>
  <c r="D173" i="2"/>
  <c r="AM173" i="2" s="1"/>
  <c r="D174" i="2"/>
  <c r="AM174" i="2" s="1"/>
  <c r="D175" i="2"/>
  <c r="AM175" i="2" s="1"/>
  <c r="D176" i="2"/>
  <c r="AM176" i="2" s="1"/>
  <c r="D177" i="2"/>
  <c r="AM177" i="2" s="1"/>
  <c r="D178" i="2"/>
  <c r="AM178" i="2" s="1"/>
  <c r="D179" i="2"/>
  <c r="AM179" i="2" s="1"/>
  <c r="D180" i="2"/>
  <c r="AM180" i="2" s="1"/>
  <c r="D181" i="2"/>
  <c r="AM181" i="2" s="1"/>
  <c r="D182" i="2"/>
  <c r="AM182" i="2" s="1"/>
  <c r="D183" i="2"/>
  <c r="AM183" i="2" s="1"/>
  <c r="D184" i="2"/>
  <c r="AM184" i="2" s="1"/>
  <c r="D185" i="2"/>
  <c r="AM185" i="2" s="1"/>
  <c r="D186" i="2"/>
  <c r="AM186" i="2" s="1"/>
  <c r="D187" i="2"/>
  <c r="AM187" i="2" s="1"/>
  <c r="D188" i="2"/>
  <c r="AM188" i="2" s="1"/>
  <c r="D189" i="2"/>
  <c r="AM189" i="2" s="1"/>
  <c r="D190" i="2"/>
  <c r="AM190" i="2" s="1"/>
  <c r="D191" i="2"/>
  <c r="AM191" i="2" s="1"/>
  <c r="D192" i="2"/>
  <c r="AM192" i="2" s="1"/>
  <c r="D193" i="2"/>
  <c r="AM193" i="2" s="1"/>
  <c r="D194" i="2"/>
  <c r="AM194" i="2" s="1"/>
  <c r="D195" i="2"/>
  <c r="AM195" i="2" s="1"/>
  <c r="D196" i="2"/>
  <c r="AM196" i="2" s="1"/>
  <c r="D197" i="2"/>
  <c r="AM197" i="2" s="1"/>
  <c r="D198" i="2"/>
  <c r="AM198" i="2" s="1"/>
  <c r="D199" i="2"/>
  <c r="AM199" i="2" s="1"/>
  <c r="D200" i="2"/>
  <c r="AM200" i="2" s="1"/>
  <c r="D201" i="2"/>
  <c r="AM201" i="2" s="1"/>
  <c r="D202" i="2"/>
  <c r="AM202" i="2" s="1"/>
  <c r="D203" i="2"/>
  <c r="AM203" i="2" s="1"/>
  <c r="D204" i="2"/>
  <c r="AM204" i="2" s="1"/>
  <c r="D205" i="2"/>
  <c r="AM205" i="2" s="1"/>
  <c r="D206" i="2"/>
  <c r="AM206" i="2" s="1"/>
  <c r="D207" i="2"/>
  <c r="AM207" i="2" s="1"/>
  <c r="D208" i="2"/>
  <c r="AM208" i="2" s="1"/>
  <c r="D209" i="2"/>
  <c r="AM209" i="2" s="1"/>
  <c r="D210" i="2"/>
  <c r="AM210" i="2" s="1"/>
  <c r="D211" i="2"/>
  <c r="AM211" i="2" s="1"/>
  <c r="D212" i="2"/>
  <c r="AM212" i="2" s="1"/>
  <c r="D213" i="2"/>
  <c r="AM213" i="2" s="1"/>
  <c r="D214" i="2"/>
  <c r="AM214" i="2" s="1"/>
  <c r="D215" i="2"/>
  <c r="AM215" i="2" s="1"/>
  <c r="D216" i="2"/>
  <c r="AM216" i="2" s="1"/>
  <c r="D217" i="2"/>
  <c r="AM217" i="2" s="1"/>
  <c r="D218" i="2"/>
  <c r="AM218" i="2" s="1"/>
  <c r="D219" i="2"/>
  <c r="AM219" i="2" s="1"/>
  <c r="D220" i="2"/>
  <c r="AM220" i="2" s="1"/>
  <c r="D221" i="2"/>
  <c r="AM221" i="2" s="1"/>
  <c r="D222" i="2"/>
  <c r="AM222" i="2" s="1"/>
  <c r="D223" i="2"/>
  <c r="AM223" i="2" s="1"/>
  <c r="D224" i="2"/>
  <c r="AM224" i="2" s="1"/>
  <c r="D225" i="2"/>
  <c r="AM225" i="2" s="1"/>
  <c r="D226" i="2"/>
  <c r="AM226" i="2" s="1"/>
  <c r="D227" i="2"/>
  <c r="AM227" i="2" s="1"/>
  <c r="D228" i="2"/>
  <c r="AM228" i="2" s="1"/>
  <c r="D229" i="2"/>
  <c r="AM229" i="2" s="1"/>
  <c r="D230" i="2"/>
  <c r="AM230" i="2" s="1"/>
  <c r="D231" i="2"/>
  <c r="AM231" i="2" s="1"/>
  <c r="D232" i="2"/>
  <c r="AM232" i="2" s="1"/>
  <c r="D233" i="2"/>
  <c r="AM233" i="2" s="1"/>
  <c r="D234" i="2"/>
  <c r="AM234" i="2" s="1"/>
  <c r="D235" i="2"/>
  <c r="AM235" i="2" s="1"/>
  <c r="D236" i="2"/>
  <c r="AM236" i="2" s="1"/>
  <c r="D237" i="2"/>
  <c r="AM237" i="2" s="1"/>
  <c r="D238" i="2"/>
  <c r="AM238" i="2" s="1"/>
  <c r="D239" i="2"/>
  <c r="AM239" i="2" s="1"/>
  <c r="D240" i="2"/>
  <c r="AM240" i="2" s="1"/>
  <c r="D241" i="2"/>
  <c r="AM241" i="2" s="1"/>
  <c r="D242" i="2"/>
  <c r="AM242" i="2" s="1"/>
  <c r="D243" i="2"/>
  <c r="AM243" i="2" s="1"/>
  <c r="D244" i="2"/>
  <c r="AM244" i="2" s="1"/>
  <c r="D245" i="2"/>
  <c r="AM245" i="2" s="1"/>
  <c r="D246" i="2"/>
  <c r="AM246" i="2" s="1"/>
  <c r="D247" i="2"/>
  <c r="AM247" i="2" s="1"/>
  <c r="D248" i="2"/>
  <c r="AM248" i="2" s="1"/>
  <c r="D249" i="2"/>
  <c r="AM249" i="2" s="1"/>
  <c r="D250" i="2"/>
  <c r="AM250" i="2" s="1"/>
  <c r="D251" i="2"/>
  <c r="AM251" i="2" s="1"/>
  <c r="D252" i="2"/>
  <c r="AM252" i="2" s="1"/>
  <c r="D253" i="2"/>
  <c r="AM253" i="2" s="1"/>
  <c r="D254" i="2"/>
  <c r="AM254" i="2" s="1"/>
  <c r="D255" i="2"/>
  <c r="AM255" i="2" s="1"/>
  <c r="D256" i="2"/>
  <c r="AM256" i="2" s="1"/>
  <c r="D257" i="2"/>
  <c r="AM257" i="2" s="1"/>
  <c r="D258" i="2"/>
  <c r="AM258" i="2" s="1"/>
  <c r="D259" i="2"/>
  <c r="AM259" i="2" s="1"/>
  <c r="D260" i="2"/>
  <c r="AM260" i="2" s="1"/>
  <c r="D261" i="2"/>
  <c r="AM261" i="2" s="1"/>
  <c r="D262" i="2"/>
  <c r="AM262" i="2" s="1"/>
  <c r="D263" i="2"/>
  <c r="AM263" i="2" s="1"/>
  <c r="D264" i="2"/>
  <c r="AM264" i="2" s="1"/>
  <c r="D265" i="2"/>
  <c r="AM265" i="2" s="1"/>
  <c r="D266" i="2"/>
  <c r="AM266" i="2" s="1"/>
  <c r="D267" i="2"/>
  <c r="AM267" i="2" s="1"/>
  <c r="D268" i="2"/>
  <c r="AM268" i="2" s="1"/>
  <c r="D269" i="2"/>
  <c r="AM269" i="2" s="1"/>
  <c r="D270" i="2"/>
  <c r="AM270" i="2" s="1"/>
  <c r="D271" i="2"/>
  <c r="AM271" i="2" s="1"/>
  <c r="D272" i="2"/>
  <c r="AM272" i="2" s="1"/>
  <c r="D273" i="2"/>
  <c r="AM273" i="2" s="1"/>
  <c r="D274" i="2"/>
  <c r="AM274" i="2" s="1"/>
  <c r="D275" i="2"/>
  <c r="AM275" i="2" s="1"/>
  <c r="D276" i="2"/>
  <c r="AM276" i="2" s="1"/>
  <c r="D277" i="2"/>
  <c r="AM277" i="2" s="1"/>
  <c r="D278" i="2"/>
  <c r="AM278" i="2" s="1"/>
  <c r="D279" i="2"/>
  <c r="AM279" i="2" s="1"/>
  <c r="D280" i="2"/>
  <c r="AM280" i="2" s="1"/>
  <c r="D281" i="2"/>
  <c r="AM281" i="2" s="1"/>
  <c r="D282" i="2"/>
  <c r="AM282" i="2" s="1"/>
  <c r="D283" i="2"/>
  <c r="AM283" i="2" s="1"/>
  <c r="D284" i="2"/>
  <c r="AM284" i="2" s="1"/>
  <c r="D285" i="2"/>
  <c r="AM285" i="2" s="1"/>
  <c r="D286" i="2"/>
  <c r="AM286" i="2" s="1"/>
  <c r="D287" i="2"/>
  <c r="AM287" i="2" s="1"/>
  <c r="D288" i="2"/>
  <c r="AM288" i="2" s="1"/>
  <c r="D289" i="2"/>
  <c r="AM289" i="2" s="1"/>
  <c r="D290" i="2"/>
  <c r="AM290" i="2" s="1"/>
  <c r="D291" i="2"/>
  <c r="AM291" i="2" s="1"/>
  <c r="D292" i="2"/>
  <c r="AM292" i="2" s="1"/>
  <c r="D293" i="2"/>
  <c r="AM293" i="2" s="1"/>
  <c r="D294" i="2"/>
  <c r="AM294" i="2" s="1"/>
  <c r="D295" i="2"/>
  <c r="AM295" i="2" s="1"/>
  <c r="D296" i="2"/>
  <c r="AM296" i="2" s="1"/>
  <c r="D297" i="2"/>
  <c r="AM297" i="2" s="1"/>
  <c r="D298" i="2"/>
  <c r="AM298" i="2" s="1"/>
  <c r="D299" i="2"/>
  <c r="AM299" i="2" s="1"/>
  <c r="D300" i="2"/>
  <c r="AM300" i="2" s="1"/>
  <c r="D301" i="2"/>
  <c r="AM301" i="2" s="1"/>
  <c r="D302" i="2"/>
  <c r="AM302" i="2" s="1"/>
  <c r="D303" i="2"/>
  <c r="AM303" i="2" s="1"/>
  <c r="D304" i="2"/>
  <c r="AM304" i="2" s="1"/>
  <c r="D305" i="2"/>
  <c r="AM305" i="2" s="1"/>
  <c r="D306" i="2"/>
  <c r="AM306" i="2" s="1"/>
  <c r="D307" i="2"/>
  <c r="AM307" i="2" s="1"/>
  <c r="D308" i="2"/>
  <c r="AM308" i="2" s="1"/>
  <c r="D309" i="2"/>
  <c r="AM309" i="2" s="1"/>
  <c r="D310" i="2"/>
  <c r="AM310" i="2" s="1"/>
  <c r="D311" i="2"/>
  <c r="AM311" i="2" s="1"/>
  <c r="D312" i="2"/>
  <c r="AM312" i="2" s="1"/>
  <c r="D313" i="2"/>
  <c r="AM313" i="2" s="1"/>
  <c r="D314" i="2"/>
  <c r="AM314" i="2" s="1"/>
  <c r="D315" i="2"/>
  <c r="AM315" i="2" s="1"/>
  <c r="D316" i="2"/>
  <c r="AM316" i="2" s="1"/>
  <c r="D317" i="2"/>
  <c r="AM317" i="2" s="1"/>
  <c r="D318" i="2"/>
  <c r="AM318" i="2" s="1"/>
  <c r="D319" i="2"/>
  <c r="AM319" i="2" s="1"/>
  <c r="D320" i="2"/>
  <c r="AM320" i="2" s="1"/>
  <c r="D321" i="2"/>
  <c r="AM321" i="2" s="1"/>
  <c r="D322" i="2"/>
  <c r="AM322" i="2" s="1"/>
  <c r="D323" i="2"/>
  <c r="AM323" i="2" s="1"/>
  <c r="D324" i="2"/>
  <c r="AM324" i="2" s="1"/>
  <c r="D325" i="2"/>
  <c r="AM325" i="2" s="1"/>
  <c r="D326" i="2"/>
  <c r="AM326" i="2" s="1"/>
  <c r="D327" i="2"/>
  <c r="AM327" i="2" s="1"/>
  <c r="D328" i="2"/>
  <c r="AM328" i="2" s="1"/>
  <c r="D329" i="2"/>
  <c r="AM329" i="2" s="1"/>
  <c r="D330" i="2"/>
  <c r="AM330" i="2" s="1"/>
  <c r="D331" i="2"/>
  <c r="AM331" i="2" s="1"/>
  <c r="D332" i="2"/>
  <c r="AM332" i="2" s="1"/>
  <c r="D333" i="2"/>
  <c r="AM333" i="2" s="1"/>
  <c r="D334" i="2"/>
  <c r="AM334" i="2" s="1"/>
  <c r="D335" i="2"/>
  <c r="AM335" i="2" s="1"/>
  <c r="D336" i="2"/>
  <c r="AM336" i="2" s="1"/>
  <c r="D337" i="2"/>
  <c r="AM337" i="2" s="1"/>
  <c r="D338" i="2"/>
  <c r="AM338" i="2" s="1"/>
  <c r="D339" i="2"/>
  <c r="AM339" i="2" s="1"/>
  <c r="D340" i="2"/>
  <c r="AM340" i="2" s="1"/>
  <c r="D341" i="2"/>
  <c r="AM341" i="2" s="1"/>
  <c r="D342" i="2"/>
  <c r="AM342" i="2" s="1"/>
  <c r="D343" i="2"/>
  <c r="AM343" i="2" s="1"/>
  <c r="D344" i="2"/>
  <c r="AM344" i="2" s="1"/>
  <c r="D345" i="2"/>
  <c r="AM345" i="2" s="1"/>
  <c r="D346" i="2"/>
  <c r="AM346" i="2" s="1"/>
  <c r="D347" i="2"/>
  <c r="AM347" i="2" s="1"/>
  <c r="D348" i="2"/>
  <c r="AM348" i="2" s="1"/>
  <c r="D349" i="2"/>
  <c r="AM349" i="2" s="1"/>
  <c r="D350" i="2"/>
  <c r="AM350" i="2" s="1"/>
  <c r="D351" i="2"/>
  <c r="AM351" i="2" s="1"/>
  <c r="D352" i="2"/>
  <c r="AM352" i="2" s="1"/>
  <c r="D353" i="2"/>
  <c r="AM353" i="2" s="1"/>
  <c r="D354" i="2"/>
  <c r="AM354" i="2" s="1"/>
  <c r="D355" i="2"/>
  <c r="AM355" i="2" s="1"/>
  <c r="D356" i="2"/>
  <c r="AM356" i="2" s="1"/>
  <c r="D357" i="2"/>
  <c r="AM357" i="2" s="1"/>
  <c r="D358" i="2"/>
  <c r="AM358" i="2" s="1"/>
  <c r="D359" i="2"/>
  <c r="AM359" i="2" s="1"/>
  <c r="D360" i="2"/>
  <c r="AM360" i="2" s="1"/>
  <c r="D361" i="2"/>
  <c r="AM361" i="2" s="1"/>
  <c r="D362" i="2"/>
  <c r="AM362" i="2" s="1"/>
  <c r="D363" i="2"/>
  <c r="AM363" i="2" s="1"/>
  <c r="D364" i="2"/>
  <c r="AM364" i="2" s="1"/>
  <c r="D365" i="2"/>
  <c r="AM365" i="2" s="1"/>
  <c r="D366" i="2"/>
  <c r="AM366" i="2" s="1"/>
  <c r="D367" i="2"/>
  <c r="AM367" i="2" s="1"/>
  <c r="D368" i="2"/>
  <c r="AM368" i="2" s="1"/>
  <c r="D369" i="2"/>
  <c r="AM369" i="2" s="1"/>
  <c r="D370" i="2"/>
  <c r="AM370" i="2" s="1"/>
  <c r="D371" i="2"/>
  <c r="AM371" i="2" s="1"/>
  <c r="D372" i="2"/>
  <c r="AM372" i="2" s="1"/>
  <c r="D373" i="2"/>
  <c r="AM373" i="2" s="1"/>
  <c r="AH2"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O76" i="13" l="1"/>
  <c r="O77" i="13"/>
  <c r="O81" i="13"/>
  <c r="O80" i="13"/>
  <c r="O78" i="13"/>
  <c r="O75" i="13"/>
  <c r="M39" i="12"/>
  <c r="K46" i="12"/>
  <c r="K39" i="12"/>
  <c r="I41" i="12"/>
  <c r="I47" i="12"/>
  <c r="I44" i="12"/>
  <c r="I45" i="12"/>
  <c r="I48" i="12"/>
  <c r="I49" i="12"/>
  <c r="I50" i="12"/>
  <c r="I40" i="12"/>
  <c r="I42" i="12"/>
  <c r="I43" i="12"/>
  <c r="I46" i="12"/>
  <c r="I39" i="12"/>
  <c r="B27" i="5"/>
  <c r="C15" i="5"/>
  <c r="C18" i="5"/>
  <c r="C19" i="5"/>
  <c r="C17" i="5"/>
  <c r="C20" i="5"/>
  <c r="C16" i="5"/>
  <c r="C25" i="5"/>
  <c r="C24" i="5"/>
  <c r="C23" i="5"/>
  <c r="C21" i="5"/>
  <c r="AF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E262" i="2"/>
  <c r="AE265" i="2" s="1"/>
  <c r="AD262" i="2"/>
  <c r="AD265" i="2" s="1"/>
  <c r="AC262" i="2"/>
  <c r="AC265" i="2" s="1"/>
  <c r="AE261" i="2"/>
  <c r="AE264" i="2" s="1"/>
  <c r="AD261" i="2"/>
  <c r="AD264" i="2" s="1"/>
  <c r="AC261" i="2"/>
  <c r="AC264" i="2" s="1"/>
  <c r="AE260" i="2"/>
  <c r="AE263" i="2" s="1"/>
  <c r="AD260" i="2"/>
  <c r="AD263" i="2" s="1"/>
  <c r="AC260" i="2"/>
  <c r="AC263" i="2" s="1"/>
  <c r="C22" i="5"/>
  <c r="C26" i="5"/>
  <c r="D21" i="5" l="1"/>
  <c r="D23" i="5"/>
  <c r="D24" i="5"/>
  <c r="D25" i="5"/>
  <c r="D16" i="5"/>
  <c r="D17" i="5"/>
  <c r="D18" i="5"/>
  <c r="B11" i="5"/>
  <c r="D22" i="5"/>
  <c r="C27" i="5"/>
  <c r="D15" i="5"/>
  <c r="D26" i="5"/>
  <c r="D20" i="5"/>
  <c r="D19"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<sst xmlns="http://schemas.openxmlformats.org/spreadsheetml/2006/main" count="2314" uniqueCount="238">
  <si>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</si>
  <si>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</si>
  <si>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</si>
  <si>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</si>
  <si>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</si>
  <si>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</si>
  <si>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</si>
  <si>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</si>
  <si>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</si>
  <si>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</si>
  <si>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</si>
  <si>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</si>
  <si>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</si>
  <si>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</si>
  <si>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</si>
  <si>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</si>
  <si>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</si>
  <si>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</si>
  <si>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</si>
  <si>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</si>
  <si>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</si>
  <si>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</si>
  <si>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</si>
  <si>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</si>
  <si>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</si>
  <si>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</si>
  <si>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</si>
  <si>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</si>
  <si>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</si>
  <si>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</si>
  <si>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</si>
  <si>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</si>
  <si>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</si>
  <si>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</si>
  <si>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</si>
  <si>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</si>
  <si>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</si>
  <si>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</si>
  <si>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</si>
  <si>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</si>
  <si>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</si>
  <si>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</si>
  <si>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</si>
  <si>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</si>
  <si>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</si>
  <si>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</si>
  <si>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</si>
  <si>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</si>
  <si>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</si>
  <si>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Date</t>
  </si>
  <si>
    <t>Nonalcoholic beverages</t>
  </si>
  <si>
    <t>Food</t>
  </si>
  <si>
    <t>Pan, Tobacco &amp; Intoxicants</t>
  </si>
  <si>
    <t>Clothing &amp; Footwear</t>
  </si>
  <si>
    <t>Fuel &amp; Energy</t>
  </si>
  <si>
    <t>Household</t>
  </si>
  <si>
    <t>Transport &amp; Communication</t>
  </si>
  <si>
    <t>Recreation</t>
  </si>
  <si>
    <t>Personal Care</t>
  </si>
  <si>
    <t>Row Labels</t>
  </si>
  <si>
    <t>Average of Food</t>
  </si>
  <si>
    <t>Average of Pan, Tobacco &amp; Intoxicants</t>
  </si>
  <si>
    <t>Average of Clothing &amp; Footwear</t>
  </si>
  <si>
    <t>Average of Housing</t>
  </si>
  <si>
    <t>Average of Fuel &amp; Energy</t>
  </si>
  <si>
    <t>Average of Household</t>
  </si>
  <si>
    <t>Average of Health</t>
  </si>
  <si>
    <t>Average of Transport &amp; Communication</t>
  </si>
  <si>
    <t>Average of Recreation</t>
  </si>
  <si>
    <t>Average of Education</t>
  </si>
  <si>
    <t>Average of Miscellaneous</t>
  </si>
  <si>
    <t>Contribution %</t>
  </si>
  <si>
    <t>Results</t>
  </si>
  <si>
    <t>Broad Category</t>
  </si>
  <si>
    <t>CPI Index</t>
  </si>
  <si>
    <t>Total Latest CPI Index</t>
  </si>
  <si>
    <t>Rank</t>
  </si>
  <si>
    <t>1.Which broader category has the highest contribution towards CPI?</t>
  </si>
  <si>
    <t>Latest Month</t>
  </si>
  <si>
    <t>Highest Contributor</t>
  </si>
  <si>
    <t>Contribution</t>
  </si>
  <si>
    <t>Average of General index</t>
  </si>
  <si>
    <t>Column Labels</t>
  </si>
  <si>
    <t>I first cleaned the CPI dataset by handling missing values and standardizing the date field. I then created broader CPI categories by grouping related subcategories. For the latest available month, I filtered the analysis to Rural+Urban and calculated the CPI index for each broad category. Since the case study requires equal weights, I normalized each category's CPI index by the sum of all broad-category CPI indexes to calculate contribution percentages. I validated that the contribution percentages sum to 100%. I then ranked the categories to identify the highest contributor. Finally, I created an interactive Excel dashboard with KPI cards, contribution analysis, CPI trends, heatmaps, slicers, and a timeline.</t>
  </si>
  <si>
    <t>INDIA CPI INFLATION ANALYSIS DASHBOARD</t>
  </si>
  <si>
    <t>This allows you to compare category movements over time.This line chart shows the long-term CPI index trend across six major categories from 2013 to 2023</t>
  </si>
  <si>
    <t>Identifies high/low CPI periods by year and month.This allows stakeholders to quickly identify periods when CPI was relatively high or low.</t>
  </si>
  <si>
    <t>Pan, Tobacco &amp; Intoxicants recorded the highest contribution among the broader CPI categories, accounting for approximately 9.3% of the overall CPI index, with an index value of 201. This result is based on the equal-weight methodology adopted for this case study.</t>
  </si>
  <si>
    <t>Total</t>
  </si>
  <si>
    <t xml:space="preserve"> Total Broad Category Index</t>
  </si>
  <si>
    <t>Pan, Tobacco &amp; Intoxicants has the highest contribution at 9.3% in May 2023 under the equal-weight methodology.</t>
  </si>
  <si>
    <t>Y-O-Y Growth(%)</t>
  </si>
  <si>
    <t>The analysis shows fluctuations in YoY CPI inflation between 2017 and 2023, with inflation reaching its highest level of 6.62% in 2022.</t>
  </si>
  <si>
    <t>Highest Inflation</t>
  </si>
  <si>
    <t>YoY Inflation Rate</t>
  </si>
  <si>
    <t>2020 at 6.01%</t>
  </si>
  <si>
    <t>2023 at 3.18%</t>
  </si>
  <si>
    <t>Second Highest</t>
  </si>
  <si>
    <t>Lowest Inflation</t>
  </si>
  <si>
    <t>Trend</t>
  </si>
  <si>
    <t>Inflation fluctuated during 2017–2023, peaking in 2022 before declining sharply in 2023.</t>
  </si>
  <si>
    <t>Key Drivers</t>
  </si>
  <si>
    <t>Global commodity price pressures, energy costs, food inflation and supply-side disruptions</t>
  </si>
  <si>
    <t>Average of Cereals and products</t>
  </si>
  <si>
    <t>Food CPI Index</t>
  </si>
  <si>
    <t>MoM Change %</t>
  </si>
  <si>
    <t>YoY Food Inflation %</t>
  </si>
  <si>
    <t>Highest MoM Food Inflation</t>
  </si>
  <si>
    <t>Lowest MoM Food Inflation</t>
  </si>
  <si>
    <t>Highest YoY Food Inflation</t>
  </si>
  <si>
    <t>Lowest YoY Food Inflation</t>
  </si>
  <si>
    <t>Jun-2022 YoY Food Inflation</t>
  </si>
  <si>
    <t>May-2023 YoY Food Inflation</t>
  </si>
  <si>
    <t>Change in the YoY Food Inflation Rate</t>
  </si>
  <si>
    <t>YoY Food inflation declined by 2.86 percentage points over the 12-month period from June 2022 to May 2023.</t>
  </si>
  <si>
    <t>Average of Meat and fish</t>
  </si>
  <si>
    <t>Average of Prepared meals, snacks, sweets etc.</t>
  </si>
  <si>
    <t>Average of Nonalcoholic beverages</t>
  </si>
  <si>
    <t>Average of Spices</t>
  </si>
  <si>
    <t>Average of Sugar and Confectionery</t>
  </si>
  <si>
    <t>Average of Pulses and products</t>
  </si>
  <si>
    <t>Average of Vegetables</t>
  </si>
  <si>
    <t>Average of Fruits</t>
  </si>
  <si>
    <t>Average of Oils and fats</t>
  </si>
  <si>
    <t>Average of Milk and products</t>
  </si>
  <si>
    <t>Average of Egg</t>
  </si>
  <si>
    <t>Food Category</t>
  </si>
  <si>
    <t>Jun-2022 CPI</t>
  </si>
  <si>
    <t>May-2023 CPI</t>
  </si>
  <si>
    <t>Absolute Change</t>
  </si>
  <si>
    <t>Change %</t>
  </si>
  <si>
    <t>Food Category with the highest Absolute Change</t>
  </si>
  <si>
    <t>Highest Absolute Change Value</t>
  </si>
  <si>
    <t>12-month Food CPI trend</t>
  </si>
  <si>
    <t>Food prices recorded the highest month-on-month increase of 1.04% in June 2022, while the lowest MoM change was -0.66% in February 2023, indicating a month-on-month decline in the Food CPI Index.</t>
  </si>
  <si>
    <t>Food inflation peaked at 6.32% in September 2022 and declined to 3.01% by May 2023, indicating that food-price inflationary pressure weakened over the 12-month period.</t>
  </si>
  <si>
    <t>Individual Food Category Analysis</t>
  </si>
  <si>
    <t>Lowest Absolute Change Value</t>
  </si>
  <si>
    <t>Food Category with the lowest Absolute Change</t>
  </si>
  <si>
    <t>Spices recorded the largest positive absolute increase in the CPI Index, rising by 31 points from 187 in June 2022 to 218 in May 2023.</t>
  </si>
  <si>
    <t>FOOD INFLATION ANALYSIS Jun 2022 – May 2023</t>
  </si>
  <si>
    <t>Highest MoM</t>
  </si>
  <si>
    <t>Highest YoY</t>
  </si>
  <si>
    <t>Lowest MoM</t>
  </si>
  <si>
    <t>Lowest YoY</t>
  </si>
  <si>
    <t>YoY Change</t>
  </si>
  <si>
    <t xml:space="preserve"> -2.86 pp</t>
  </si>
  <si>
    <t>Food prices recorded the highest month-on-month increase of 1.04% in June 2022, indicating a significant short-term upward movement in the food CPI index at the beginning of the analysis period.</t>
  </si>
  <si>
    <t>Food prices recorded the lowest month-on-month movement in February 2023 at -0.66%, indicating a month-on-month decline in the food CPI index.</t>
  </si>
  <si>
    <t>Food inflation reached its highest year-on-year level of 6.32% in September 2022, indicating that food prices were significantly higher compared with the same period a year earlier.</t>
  </si>
  <si>
    <t>Food inflation declined to its lowest year-on-year level of 3.01% in May 2023, suggesting that the pace of food price inflation had moderated considerably by the end of the 12-month period.</t>
  </si>
  <si>
    <t>YoY food inflation declined by 2.86 percentage points, from 5.87% in June 2022 to 3.01% in May 2023, indicating an overall moderation in food inflation over the 12-month period.</t>
  </si>
  <si>
    <t>KPIs</t>
  </si>
  <si>
    <t>Food inflation showed a volatile pattern during the 12-month period. It peaked at 6.32% in September 2022 before entering a broad downward trend and reaching 3.01% in May 2023. Overall, the data indicates that food price inflation moderated significantly towards the end of the period.</t>
  </si>
  <si>
    <t>The month-on-month food inflation trend was volatile. The highest monthly increase occurred in June 2022 (+1.04%), while the largest monthly decline occurred in February 2023 (-0.66%). Food prices increased again by 0.76% in May 2023, indicating renewed short-term upward pressure at the end of the analysis period.</t>
  </si>
  <si>
    <t>The food basket showed mixed price movements across individual categories. Spices recorded the largest increase of 31 index points, while Oils and fats recorded the largest decline of 31 points. This indicates that food inflation was not driven uniformly by all food categories; instead, individual categories experienced significantly different price movements.</t>
  </si>
  <si>
    <t>Insights</t>
  </si>
  <si>
    <t>General CPI Index</t>
  </si>
  <si>
    <t>Overall CPI Inflation %</t>
  </si>
  <si>
    <t>Food CPI</t>
  </si>
  <si>
    <t>Food Inflation %</t>
  </si>
  <si>
    <t>Health CPI</t>
  </si>
  <si>
    <t>Health Inflation %</t>
  </si>
  <si>
    <t>COVID Period</t>
  </si>
  <si>
    <t>N/A</t>
  </si>
  <si>
    <t>Transport &amp; Communication CPI</t>
  </si>
  <si>
    <t>Transport &amp; Communication Inflation %</t>
  </si>
  <si>
    <t>Category</t>
  </si>
  <si>
    <t>Pre-COVID Avg</t>
  </si>
  <si>
    <t>Lockdown Avg</t>
  </si>
  <si>
    <t>Post-Lockdown Avg</t>
  </si>
  <si>
    <t>Overall CPI</t>
  </si>
  <si>
    <t>COVID Onset(Mar-2020)</t>
  </si>
  <si>
    <t>COVID Period Summary Table</t>
  </si>
  <si>
    <t>COVID-19 IMPACT ON CPI INFLATION DASHBOARD</t>
  </si>
  <si>
    <t>COVID Onset</t>
  </si>
  <si>
    <t>Lockdown</t>
  </si>
  <si>
    <t>Post-Lockdown</t>
  </si>
  <si>
    <t>Post-COVID</t>
  </si>
  <si>
    <t>Pre-COVID</t>
  </si>
  <si>
    <t>Covid Period</t>
  </si>
  <si>
    <t>Largest  COVID Impact</t>
  </si>
  <si>
    <t>Chart-1</t>
  </si>
  <si>
    <t>Chart-2</t>
  </si>
  <si>
    <t>1. Before COVID, the average Overall CPI inflation was approximately 4.28%.At the COVID onset in March 2020, it increased to 5.84%.During the lockdown period, it increased further to approximately 6.15%.   2. It rose sharply during the onset of COVID and reached its highest average during lockdown, before declining in the post-lockdown period.                                                                                      3. Health inflation peaked at the COVID onset, rather than during the lockdown.          4. This category shows a progressive increase, reaching its highest level in the post-lockdown period.</t>
  </si>
  <si>
    <r>
      <rPr>
        <b/>
        <sz val="11"/>
        <color theme="1"/>
        <rFont val="Aptos Narrow"/>
        <family val="2"/>
        <scheme val="minor"/>
      </rPr>
      <t>Food</t>
    </r>
    <r>
      <rPr>
        <sz val="11"/>
        <color theme="1"/>
        <rFont val="Aptos Narrow"/>
        <family val="2"/>
        <scheme val="minor"/>
      </rPr>
      <t xml:space="preserve"> experienced a sharp increase around the COVID and lockdown period.                                                                                                                                                         </t>
    </r>
    <r>
      <rPr>
        <b/>
        <sz val="11"/>
        <color theme="1"/>
        <rFont val="Aptos Narrow"/>
        <family val="2"/>
        <scheme val="minor"/>
      </rPr>
      <t>Health</t>
    </r>
    <r>
      <rPr>
        <sz val="11"/>
        <color theme="1"/>
        <rFont val="Aptos Narrow"/>
        <family val="2"/>
        <scheme val="minor"/>
      </rPr>
      <t xml:space="preserve"> was already at a high level and reached a particularly high inflation rate around the COVID onset.                                                                </t>
    </r>
    <r>
      <rPr>
        <b/>
        <sz val="11"/>
        <color theme="1"/>
        <rFont val="Aptos Narrow"/>
        <family val="2"/>
        <scheme val="minor"/>
      </rPr>
      <t>Transport &amp; Communication</t>
    </r>
    <r>
      <rPr>
        <sz val="11"/>
        <color theme="1"/>
        <rFont val="Aptos Narrow"/>
        <family val="2"/>
        <scheme val="minor"/>
      </rPr>
      <t xml:space="preserve"> showed a gradual increase and remained elevated beyond the lockdown period.                                                                </t>
    </r>
    <r>
      <rPr>
        <b/>
        <sz val="11"/>
        <color theme="1"/>
        <rFont val="Aptos Narrow"/>
        <family val="2"/>
        <scheme val="minor"/>
      </rPr>
      <t>Overall CPI</t>
    </r>
    <r>
      <rPr>
        <sz val="11"/>
        <color theme="1"/>
        <rFont val="Aptos Narrow"/>
        <family val="2"/>
        <scheme val="minor"/>
      </rPr>
      <t xml:space="preserve"> also remained higher than the pre-COVID levels for much of the subsequent period.</t>
    </r>
  </si>
  <si>
    <t>Chart-3</t>
  </si>
  <si>
    <t>Food had the largest increase in inflation during the lockdown compared with the pre-COVID period.</t>
  </si>
  <si>
    <t>1. Inflation increased steadily from 2017 to 2019, rising from 3.33% in 2017 to 3.90% in 2019, indicating a gradual increase in overall price levels.
2. Inflation rose sharply in 2020, reaching 6.01%, which was the second-highest inflation rate during the 2017–2023 period shown in the dashboard.
3. Inflation remained elevated in 2021 at 5.63%, although it declined slightly from 2020. This suggests that inflationary pressures continued even after the initial 2020 shock.
4. 2022 recorded the highest YoY inflation rate at 6.62%, making it the peak inflation year in your analysis period. This is the most important trend visible in your chart.
5. Inflation declined significantly in 2023 to 3.18%, the lowest level in the 2017–2023 period. The sharp decline from 6.62% in 2022 to 3.18% in 2023 indicates that inflationary pressures eased considerably.</t>
  </si>
  <si>
    <t>Y-o-Y</t>
  </si>
  <si>
    <t>This chart shows how CPI changed from 2013 to 2023.The line chart shows the long-term movement of the CPI index, allowing stakeholders to identify periods of rising or declining inflationary pressure.</t>
  </si>
  <si>
    <t>Business Question1- Based on the latest month’s data, what is the contribution of broader categories towards the CPI basket, which category contributes the most, and do contributions total 100%?</t>
  </si>
  <si>
    <t>Business Question-2 : What is the year-over-year increase in Rural+Urban CPI from 2017 onward, which year has the highest inflation rate, and why?</t>
  </si>
  <si>
    <t>Business Question 3: For the 12 months ending May-2023, how did the broader Food bucket move, which month had the highest/lowest food inflation, and which individual food category changed the most?</t>
  </si>
  <si>
    <t>Business Question 4: How did the onset and progression of COVID-19 affect inflation, especially food, healthcare and essential services?</t>
  </si>
  <si>
    <t>Average of Pan, tobacco and intoxicants</t>
  </si>
  <si>
    <t>Average of Personal care and effects</t>
  </si>
  <si>
    <t>Fuel &amp; Energy CPI</t>
  </si>
  <si>
    <t>Fuel &amp; Energy Inflation %</t>
  </si>
  <si>
    <t>Personal care and effects CPI</t>
  </si>
  <si>
    <t>Personal care and effects Inflation %</t>
  </si>
  <si>
    <t>Housing Inflation %</t>
  </si>
  <si>
    <t>Housing CPI</t>
  </si>
  <si>
    <t>Pan, tobacco and intoxicants CPI</t>
  </si>
  <si>
    <t>Pan, tobacco and intoxicants Inflation %</t>
  </si>
  <si>
    <t>Education CPI</t>
  </si>
  <si>
    <t>Education Inflation %</t>
  </si>
  <si>
    <t>Change in Lockdown vs Pre-COVID</t>
  </si>
  <si>
    <t>+6.71 pp</t>
  </si>
  <si>
    <t>Highest Inflation During Lockdown</t>
  </si>
  <si>
    <t>Personal care and effects had the largest increase compared with its pre-COVID average (+6.71 percentage points), followed by Food (+5.38 percentage points).</t>
  </si>
  <si>
    <t>Personal care and effects was the most affected category during lockdown compared with the pre-COVID period.</t>
  </si>
  <si>
    <t>April 2019 data is unavailable, so April 2020 YoY inflation could not be calculated. The reported lockdown average is based on the available May 2020 observation.</t>
  </si>
  <si>
    <t>1. Overall CPI inflation increased from 4.28% before COVID to 5.84% at the March 2020 onset and 6.15% during the measured lockdown. This was an increase of 1.87 percentage points over the pre-COVID average.</t>
  </si>
  <si>
    <t>2. Personal Care &amp; Effects inflation rose from 5.34% before COVID to 12.04% during lockdown, the largest increase among the selected categories at +6.71 percentage points.</t>
  </si>
  <si>
    <t>3. Food inflation increased from 4.25% before COVID to 7.49% at the onset and 9.63% during lockdown—an increase of 5.38 percentage points.</t>
  </si>
  <si>
    <t>5. Transport inflation showed a delayed effect
Transport &amp; Communication inflation increased from 2.50% before COVID to 6.73% during lockdown and reached 8.36% after lockdown.
This suggests that logistics costs, mobility restrictions and reopening activity created longer-lasting price pressure.</t>
  </si>
  <si>
    <t>4. Pan, Tobacco &amp; Intoxicants rose sharply
Inflation in this category increased from 4.26% to 9.32% during lockdown, a rise of 5.07 percentage points. Restricted availability may have contributed to the increase.</t>
  </si>
  <si>
    <t>6. Fuel inflation was volatile and increased later
Fuel &amp; Energy inflation was 6.59% at the onset, fell to 1.92% during the measured lockdown, and subsequently increased to 8.28% post-lockdown.
The category was affected more strongly during reopening than during restricted mobility.</t>
  </si>
  <si>
    <r>
      <rPr>
        <b/>
        <u/>
        <sz val="11"/>
        <color theme="1"/>
        <rFont val="Aptos Narrow"/>
        <family val="2"/>
        <scheme val="minor"/>
      </rPr>
      <t>Chart 1: Period comparison</t>
    </r>
    <r>
      <rPr>
        <b/>
        <sz val="11"/>
        <color theme="1"/>
        <rFont val="Aptos Narrow"/>
        <family val="2"/>
        <scheme val="minor"/>
      </rPr>
      <t xml:space="preserve">
Personal Care recorded the highest lockdown inflation at 12.04%, followed by Food at 9.63%. Transport and Fuel inflation were highest after lockdown.
</t>
    </r>
    <r>
      <rPr>
        <b/>
        <u/>
        <sz val="11"/>
        <color theme="1"/>
        <rFont val="Aptos Narrow"/>
        <family val="2"/>
        <scheme val="minor"/>
      </rPr>
      <t>Chart 2: Monthly trend</t>
    </r>
    <r>
      <rPr>
        <b/>
        <sz val="11"/>
        <color theme="1"/>
        <rFont val="Aptos Narrow"/>
        <family val="2"/>
        <scheme val="minor"/>
      </rPr>
      <t xml:space="preserve">
Food and Personal Care increased sharply around the lockdown, while Transport and Fuel showed a delayed rise during reopening.
</t>
    </r>
    <r>
      <rPr>
        <b/>
        <u/>
        <sz val="11"/>
        <color theme="1"/>
        <rFont val="Aptos Narrow"/>
        <family val="2"/>
        <scheme val="minor"/>
      </rPr>
      <t>Chart 3: Lockdown impact</t>
    </r>
    <r>
      <rPr>
        <b/>
        <sz val="11"/>
        <color theme="1"/>
        <rFont val="Aptos Narrow"/>
        <family val="2"/>
        <scheme val="minor"/>
      </rPr>
      <t xml:space="preserve">
Personal Care recorded the largest increase at +6.71 pp, followed by Food (+5.38 pp) and Pan/Tobacco (+5.07 pp). Health, Education and Housing showed slower inflation than before COVID.
</t>
    </r>
    <r>
      <rPr>
        <b/>
        <u/>
        <sz val="11"/>
        <color theme="1"/>
        <rFont val="Aptos Narrow"/>
        <family val="2"/>
        <scheme val="minor"/>
      </rPr>
      <t>Overall insight</t>
    </r>
    <r>
      <rPr>
        <b/>
        <sz val="11"/>
        <color theme="1"/>
        <rFont val="Aptos Narrow"/>
        <family val="2"/>
        <scheme val="minor"/>
      </rPr>
      <t xml:space="preserve">
COVID-19 affected categories unevenly: essential and availability-sensitive products faced immediate pressure, while mobility and energy-related inflation appeared later.</t>
    </r>
  </si>
  <si>
    <t>Crude Oil</t>
  </si>
  <si>
    <t xml:space="preserve">Housing </t>
  </si>
  <si>
    <t>Year 2021-2023</t>
  </si>
  <si>
    <t>Correl Between</t>
  </si>
  <si>
    <t xml:space="preserve">Crude oil </t>
  </si>
  <si>
    <t>Month-On-Month</t>
  </si>
  <si>
    <t>Note: Correlation indicates the strength of association between variables and should not be interpreted as proof of causation.</t>
  </si>
  <si>
    <t>Transport has a direct cost relationship with crude oil. An increase in international oil prices can raise petrol, diesel and aviation-fuel costs. This increases the operating cost of buses, taxis, airlines and logistics companies. These businesses may then pass the additional cost to consumers through higher fares and freight charges.</t>
  </si>
  <si>
    <t xml:space="preserve">Question-5. Investigate how major global economic events (like imported oil price fluctuations) have influenced India's inflation. This can include an analysis of imported goods and their price trends. 
o	For the purpose of this analysis, focus only on the imported oil price fluctuations for years 2021 to 2023 (Month-on-month)
o	Identify trends in oil price change with change in inflation prices of all the categories and identify category whose inflation prices strongly changes with fluctuations in  imported oil price (Hint: you can use =correl function) </t>
  </si>
  <si>
    <t>Crude Oil has a very strong positive correlation (0.97) with the Fuel &amp; Energy.</t>
  </si>
  <si>
    <t>Transport and Communication also show strong positive correlations(0.96) with Crude Oil</t>
  </si>
  <si>
    <t>The key insight was that Pan, Tobacco &amp; Intoxicants had the highest calculated contribution at approximately 9.3% in May 2023 under the equal-weight methodology. Health and Personal Care were also among the relatively high-index categories.</t>
  </si>
  <si>
    <t>The main insight was that inflation fluctuated rather than moving in a straight line. In my calculation, it increased sharply in 2020, remained elevated in 2021 and reached the highest annual rate of approximately 6.62% in 2022. It then declined to approximately 3.18% in the 2023 period represented in my dataset.</t>
  </si>
  <si>
    <t>The important insight is that food inflation was under stronger pressure during parts of 2022. YoY food inflation peaked at 6.32% in September 2022, but by May 2023 it had declined to 3.01%. So although the Food CPI index remained high, the rate of increase was slowing.</t>
  </si>
  <si>
    <t>My main finding was that COVID did not affect every CPI category in the same way or at the same time.
Overall CPI inflation increased from approximately 4.28% before COVID to 6.15% during the measured lockdown period.
Food showed a much stronger increase, from 4.25% pre-COVID to 9.63% during lockdown.
Personal Care &amp; Effects showed the largest increase among the selected categories, approximately 6.71 percentage points compared with its pre-COVID average.
Transport showed more of a delayed pattern, remaining elevated in the post-lockdown period.</t>
  </si>
  <si>
    <t>One limitation I identified was missing April 2019 data, which prevented me from calculating April 2020 YoY inflation. Rather than creating an unsupported value, I documented the limitation and calculated the period summary using available data.</t>
  </si>
  <si>
    <t>Limitation</t>
  </si>
  <si>
    <t>From a business perspective, Fuel and Transport are logical categories to monitor when oil prices are volatile because energy and transportation costs can affect operating and logistics costs. However, before making a causal conclusion, I would extend the analysis using lagged relationships and additional explanatory variables.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</si>
</sst>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yyyy"/>
    <numFmt numFmtId="165" formatCode="0.0"/>
    <numFmt numFmtId="166" formatCode="0.0%"/>
    <numFmt numFmtId="167" formatCode="0.000"/>
    <numFmt numFmtId="168" formatCode="0.00000000"/>
  </numFmts>
  <fonts count="3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6"/>
      <color theme="1"/>
      <name val="Aptos Narrow"/>
      <family val="2"/>
      <scheme val="minor"/>
    </font>
    <font>
      <sz val="10"/>
      <color theme="1"/>
      <name val="Aptos Narrow"/>
      <family val="2"/>
      <scheme val="minor"/>
    </font>
    <font>
      <b/>
      <u/>
      <sz val="20"/>
      <color theme="1"/>
      <name val="Aptos Narrow"/>
      <family val="2"/>
      <scheme val="minor"/>
    </font>
    <font>
      <b/>
      <u/>
      <sz val="16"/>
      <color theme="1"/>
      <name val="Aptos Narrow"/>
      <family val="2"/>
      <scheme val="minor"/>
    </font>
    <font>
      <b/>
      <sz val="12"/>
      <color theme="1"/>
      <name val="Aptos Narrow"/>
      <family val="2"/>
      <scheme val="minor"/>
    </font>
    <font>
      <b/>
      <sz val="10"/>
      <color theme="1"/>
      <name val="Aptos Narrow"/>
      <family val="2"/>
      <scheme val="minor"/>
    </font>
    <font>
      <b/>
      <sz val="18"/>
      <color theme="1"/>
      <name val="Aptos Narrow"/>
      <family val="2"/>
      <scheme val="minor"/>
    </font>
    <font>
      <sz val="12"/>
      <color theme="1"/>
      <name val="Aptos Narrow"/>
      <family val="2"/>
      <scheme val="minor"/>
    </font>
    <font>
      <b/>
      <u/>
      <sz val="14"/>
      <color theme="1"/>
      <name val="Aptos Narrow"/>
      <family val="2"/>
      <scheme val="minor"/>
    </font>
    <font>
      <b/>
      <u/>
      <sz val="18"/>
      <color theme="1"/>
      <name val="Aptos Narrow"/>
      <family val="2"/>
      <scheme val="minor"/>
    </font>
    <font>
      <b/>
      <u/>
      <sz val="11"/>
      <color theme="1"/>
      <name val="Aptos Narrow"/>
      <family val="2"/>
      <scheme val="minor"/>
    </font>
    <font>
      <b/>
      <sz val="11"/>
      <name val="Aptos Narrow"/>
      <family val="2"/>
      <scheme val="minor"/>
    </font>
    <font>
      <sz val="11"/>
      <name val="Aptos Narrow"/>
      <family val="2"/>
      <scheme val="minor"/>
    </font>
    <font>
      <b/>
      <u/>
      <sz val="12"/>
      <color theme="1"/>
      <name val="Aptos Narrow"/>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5" tint="0.59999389629810485"/>
        <bgColor theme="4"/>
      </patternFill>
    </fill>
    <fill>
      <patternFill patternType="solid">
        <fgColor theme="7" tint="0.79998168889431442"/>
        <bgColor indexed="64"/>
      </patternFill>
    </fill>
    <fill>
      <patternFill patternType="solid">
        <fgColor rgb="FFFFFF00"/>
        <bgColor theme="4"/>
      </patternFill>
    </fill>
    <fill>
      <patternFill patternType="solid">
        <fgColor theme="4" tint="0.59999389629810485"/>
        <bgColor theme="4"/>
      </patternFill>
    </fill>
    <fill>
      <patternFill patternType="solid">
        <fgColor theme="4" tint="0.79998168889431442"/>
        <bgColor indexed="64"/>
      </patternFill>
    </fill>
    <fill>
      <patternFill patternType="solid">
        <fgColor theme="4" tint="0.79998168889431442"/>
        <bgColor theme="4"/>
      </patternFill>
    </fill>
    <fill>
      <patternFill patternType="solid">
        <fgColor theme="5"/>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bottom style="thin">
        <color theme="4" tint="0.39997558519241921"/>
      </bottom>
      <diagonal/>
    </border>
    <border>
      <left/>
      <right/>
      <top style="thin">
        <color theme="4" tint="0.39997558519241921"/>
      </top>
      <bottom style="thin">
        <color theme="4" tint="0.39997558519241921"/>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6">
    <xf numFmtId="0" fontId="0" fillId="0" borderId="0" xfId="0"/>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0" fontId="16" fillId="0" borderId="0" xfId="0" applyFont="1"/>
    <xf numFmtId="9" fontId="0" fillId="0" borderId="0" xfId="0" applyNumberFormat="1"/>
    <xf numFmtId="0" fontId="16" fillId="0" borderId="10" xfId="0" applyFont="1" applyBorder="1" applyAlignment="1">
      <alignment horizontal="center" vertical="center"/>
    </xf>
    <xf numFmtId="0" fontId="0" fillId="0" borderId="10" xfId="0" applyBorder="1"/>
    <xf numFmtId="0" fontId="16" fillId="0" borderId="10" xfId="0" applyFont="1" applyBorder="1"/>
    <xf numFmtId="165" fontId="16" fillId="0" borderId="10" xfId="0" applyNumberFormat="1" applyFont="1" applyBorder="1"/>
    <xf numFmtId="0" fontId="19" fillId="0" borderId="0" xfId="0" applyFont="1"/>
    <xf numFmtId="0" fontId="22" fillId="34" borderId="0" xfId="0" applyFont="1" applyFill="1" applyAlignment="1">
      <alignment horizontal="center" vertical="center"/>
    </xf>
    <xf numFmtId="0" fontId="16" fillId="0" borderId="0" xfId="0" applyFont="1" applyAlignment="1">
      <alignment vertical="center"/>
    </xf>
    <xf numFmtId="0" fontId="18" fillId="0" borderId="0" xfId="0" applyFont="1" applyAlignment="1">
      <alignment vertical="center" wrapText="1"/>
    </xf>
    <xf numFmtId="0" fontId="16" fillId="0" borderId="0" xfId="0" pivotButton="1" applyFont="1"/>
    <xf numFmtId="0" fontId="16" fillId="0" borderId="0" xfId="0" applyFont="1" applyAlignment="1">
      <alignment horizontal="left"/>
    </xf>
    <xf numFmtId="2" fontId="16" fillId="0" borderId="0" xfId="0" applyNumberFormat="1" applyFont="1"/>
    <xf numFmtId="0" fontId="16" fillId="34" borderId="0" xfId="0" applyFont="1" applyFill="1"/>
    <xf numFmtId="0" fontId="16" fillId="34" borderId="0" xfId="0" applyFont="1" applyFill="1" applyAlignment="1">
      <alignment vertical="center"/>
    </xf>
    <xf numFmtId="0" fontId="23" fillId="34" borderId="0" xfId="0" applyFont="1" applyFill="1"/>
    <xf numFmtId="10" fontId="23" fillId="34" borderId="0" xfId="0" applyNumberFormat="1" applyFont="1" applyFill="1" applyAlignment="1">
      <alignment horizontal="center" vertical="center"/>
    </xf>
    <xf numFmtId="17" fontId="16" fillId="34" borderId="0" xfId="0" applyNumberFormat="1" applyFont="1" applyFill="1" applyAlignment="1">
      <alignment horizontal="center"/>
    </xf>
    <xf numFmtId="0" fontId="22" fillId="34" borderId="0" xfId="0" applyFont="1" applyFill="1" applyAlignment="1">
      <alignment horizontal="center"/>
    </xf>
    <xf numFmtId="2" fontId="0" fillId="0" borderId="10" xfId="0" applyNumberFormat="1" applyBorder="1"/>
    <xf numFmtId="10" fontId="0" fillId="0" borderId="10" xfId="1" applyNumberFormat="1" applyFont="1" applyBorder="1"/>
    <xf numFmtId="10" fontId="0" fillId="0" borderId="10" xfId="0" applyNumberFormat="1" applyBorder="1"/>
    <xf numFmtId="164" fontId="0" fillId="0" borderId="0" xfId="0" applyNumberFormat="1" applyAlignment="1">
      <alignment horizontal="left"/>
    </xf>
    <xf numFmtId="164" fontId="0" fillId="0" borderId="10" xfId="0" applyNumberFormat="1" applyBorder="1" applyAlignment="1">
      <alignment horizontal="left"/>
    </xf>
    <xf numFmtId="17" fontId="0" fillId="0" borderId="10" xfId="0" applyNumberFormat="1" applyBorder="1"/>
    <xf numFmtId="0" fontId="0" fillId="0" borderId="10" xfId="0" applyBorder="1" applyAlignment="1">
      <alignment vertical="center" wrapText="1"/>
    </xf>
    <xf numFmtId="1" fontId="0" fillId="0" borderId="10" xfId="0" applyNumberFormat="1" applyBorder="1" applyAlignment="1">
      <alignment vertical="center" wrapText="1"/>
    </xf>
    <xf numFmtId="1" fontId="0" fillId="0" borderId="10" xfId="0" applyNumberFormat="1" applyBorder="1"/>
    <xf numFmtId="9" fontId="0" fillId="0" borderId="10" xfId="1" applyFont="1" applyBorder="1" applyAlignment="1"/>
    <xf numFmtId="0" fontId="0" fillId="35" borderId="0" xfId="0" applyFill="1"/>
    <xf numFmtId="0" fontId="16" fillId="35" borderId="0" xfId="0" applyFont="1" applyFill="1"/>
    <xf numFmtId="0" fontId="18" fillId="35" borderId="0" xfId="0" applyFont="1" applyFill="1" applyAlignment="1">
      <alignment horizontal="center" vertical="center"/>
    </xf>
    <xf numFmtId="0" fontId="26" fillId="35" borderId="0" xfId="0" applyFont="1" applyFill="1" applyAlignment="1">
      <alignment horizontal="center" vertical="center"/>
    </xf>
    <xf numFmtId="0" fontId="22" fillId="0" borderId="0" xfId="0" applyFont="1" applyAlignment="1">
      <alignment horizontal="center" vertical="center"/>
    </xf>
    <xf numFmtId="0" fontId="26" fillId="0" borderId="0" xfId="0" applyFont="1"/>
    <xf numFmtId="165" fontId="0" fillId="0" borderId="0" xfId="0" applyNumberFormat="1"/>
    <xf numFmtId="10" fontId="26" fillId="35" borderId="0" xfId="0" applyNumberFormat="1" applyFont="1" applyFill="1" applyAlignment="1">
      <alignment horizontal="center" vertical="center"/>
    </xf>
    <xf numFmtId="0" fontId="26" fillId="35" borderId="0" xfId="0" quotePrefix="1" applyFont="1" applyFill="1" applyAlignment="1">
      <alignment horizontal="center" vertical="center"/>
    </xf>
    <xf numFmtId="0" fontId="16" fillId="0" borderId="0" xfId="0" applyFont="1" applyAlignment="1">
      <alignment vertical="center" wrapText="1"/>
    </xf>
    <xf numFmtId="0" fontId="27" fillId="0" borderId="0" xfId="0" applyFont="1" applyAlignment="1">
      <alignment horizontal="center" vertical="center"/>
    </xf>
    <xf numFmtId="0" fontId="0" fillId="0" borderId="0" xfId="0" applyAlignment="1">
      <alignment vertical="center" wrapText="1"/>
    </xf>
    <xf numFmtId="0" fontId="0" fillId="0" borderId="10" xfId="0" applyBorder="1" applyAlignment="1">
      <alignment horizontal="center" vertical="center"/>
    </xf>
    <xf numFmtId="0" fontId="0" fillId="33" borderId="10" xfId="0" applyFill="1" applyBorder="1"/>
    <xf numFmtId="166" fontId="16" fillId="0" borderId="23" xfId="0" applyNumberFormat="1" applyFont="1" applyBorder="1"/>
    <xf numFmtId="9" fontId="16" fillId="0" borderId="10" xfId="0" applyNumberFormat="1" applyFont="1" applyBorder="1"/>
    <xf numFmtId="0" fontId="16" fillId="33" borderId="10" xfId="0" applyFont="1" applyFill="1" applyBorder="1"/>
    <xf numFmtId="2" fontId="0" fillId="33" borderId="10" xfId="1" applyNumberFormat="1" applyFont="1" applyFill="1" applyBorder="1"/>
    <xf numFmtId="10" fontId="16" fillId="0" borderId="10" xfId="1" applyNumberFormat="1" applyFont="1" applyBorder="1"/>
    <xf numFmtId="0" fontId="16" fillId="36" borderId="0" xfId="0" applyFont="1" applyFill="1" applyAlignment="1">
      <alignment horizontal="center"/>
    </xf>
    <xf numFmtId="0" fontId="16" fillId="35" borderId="0" xfId="0" applyFont="1" applyFill="1" applyAlignment="1">
      <alignment vertical="center"/>
    </xf>
    <xf numFmtId="10" fontId="0" fillId="33" borderId="10" xfId="0" applyNumberFormat="1" applyFill="1" applyBorder="1"/>
    <xf numFmtId="0" fontId="16" fillId="0" borderId="0" xfId="0" applyFont="1" applyAlignment="1">
      <alignment horizontal="center" vertical="center" wrapText="1"/>
    </xf>
    <xf numFmtId="0" fontId="18" fillId="0" borderId="0" xfId="0" applyFont="1" applyAlignment="1">
      <alignment horizontal="center"/>
    </xf>
    <xf numFmtId="0" fontId="16" fillId="0" borderId="0" xfId="0" applyFont="1" applyAlignment="1">
      <alignment horizontal="center" wrapText="1"/>
    </xf>
    <xf numFmtId="0" fontId="0" fillId="0" borderId="0" xfId="0" applyAlignment="1">
      <alignment horizontal="center" wrapText="1"/>
    </xf>
    <xf numFmtId="0" fontId="16" fillId="37" borderId="24" xfId="0" applyFont="1" applyFill="1" applyBorder="1"/>
    <xf numFmtId="0" fontId="0" fillId="0" borderId="10" xfId="0" applyBorder="1" applyAlignment="1">
      <alignment vertical="center"/>
    </xf>
    <xf numFmtId="0" fontId="0" fillId="0" borderId="0" xfId="0" applyAlignment="1">
      <alignment wrapText="1"/>
    </xf>
    <xf numFmtId="0" fontId="22" fillId="0" borderId="0" xfId="0" applyFont="1" applyAlignment="1">
      <alignment horizontal="center" wrapText="1"/>
    </xf>
    <xf numFmtId="0" fontId="29" fillId="0" borderId="0" xfId="0" applyFont="1" applyAlignment="1">
      <alignment horizontal="center" wrapText="1"/>
    </xf>
    <xf numFmtId="0" fontId="29" fillId="0" borderId="0" xfId="0" applyFont="1" applyAlignment="1">
      <alignment horizontal="center" vertical="center" wrapText="1"/>
    </xf>
    <xf numFmtId="164" fontId="0" fillId="0" borderId="10" xfId="0" applyNumberFormat="1" applyBorder="1" applyAlignment="1">
      <alignment horizontal="center" vertical="center"/>
    </xf>
    <xf numFmtId="10" fontId="0" fillId="0" borderId="10" xfId="1" applyNumberFormat="1" applyFont="1" applyBorder="1" applyAlignment="1">
      <alignment horizontal="center" vertical="center"/>
    </xf>
    <xf numFmtId="165" fontId="0" fillId="0" borderId="10" xfId="0" applyNumberFormat="1" applyBorder="1" applyAlignment="1">
      <alignment horizontal="center" vertical="center"/>
    </xf>
    <xf numFmtId="10" fontId="0" fillId="33" borderId="10" xfId="1" applyNumberFormat="1" applyFont="1" applyFill="1" applyBorder="1" applyAlignment="1">
      <alignment horizontal="center" vertical="center"/>
    </xf>
    <xf numFmtId="0" fontId="0" fillId="0" borderId="10" xfId="1" quotePrefix="1" applyNumberFormat="1" applyFont="1" applyBorder="1" applyAlignment="1">
      <alignment horizontal="center" vertical="center"/>
    </xf>
    <xf numFmtId="2" fontId="0" fillId="0" borderId="10" xfId="0" applyNumberFormat="1" applyBorder="1" applyAlignment="1">
      <alignment horizontal="center" vertical="center"/>
    </xf>
    <xf numFmtId="164" fontId="0" fillId="33" borderId="10" xfId="0" applyNumberFormat="1" applyFill="1" applyBorder="1" applyAlignment="1">
      <alignment horizontal="center" vertical="center"/>
    </xf>
    <xf numFmtId="0" fontId="0" fillId="33" borderId="10" xfId="0" applyFill="1" applyBorder="1" applyAlignment="1">
      <alignment horizontal="center" vertical="center"/>
    </xf>
    <xf numFmtId="165" fontId="0" fillId="33" borderId="10" xfId="0" applyNumberFormat="1" applyFill="1" applyBorder="1" applyAlignment="1">
      <alignment horizontal="center" vertical="center"/>
    </xf>
    <xf numFmtId="2" fontId="0" fillId="33" borderId="10" xfId="0" applyNumberFormat="1" applyFill="1" applyBorder="1" applyAlignment="1">
      <alignment horizontal="center" vertical="center"/>
    </xf>
    <xf numFmtId="0" fontId="23" fillId="0" borderId="10" xfId="0" applyFont="1" applyBorder="1" applyAlignment="1">
      <alignment horizontal="left" vertical="top"/>
    </xf>
    <xf numFmtId="0" fontId="23" fillId="0" borderId="0" xfId="0" applyFont="1" applyAlignment="1">
      <alignment vertical="center"/>
    </xf>
    <xf numFmtId="0" fontId="0" fillId="0" borderId="0" xfId="0" applyAlignment="1">
      <alignment horizontal="center"/>
    </xf>
    <xf numFmtId="0" fontId="0" fillId="37" borderId="25" xfId="0" applyFill="1" applyBorder="1"/>
    <xf numFmtId="0" fontId="30" fillId="38" borderId="10" xfId="0" applyFont="1" applyFill="1" applyBorder="1"/>
    <xf numFmtId="0" fontId="30" fillId="40" borderId="10" xfId="0" applyFont="1" applyFill="1" applyBorder="1"/>
    <xf numFmtId="167" fontId="0" fillId="0" borderId="10" xfId="0" applyNumberFormat="1" applyBorder="1"/>
    <xf numFmtId="2" fontId="0" fillId="39" borderId="10" xfId="0" applyNumberFormat="1" applyFill="1" applyBorder="1"/>
    <xf numFmtId="0" fontId="30" fillId="41" borderId="10" xfId="0" applyFont="1" applyFill="1" applyBorder="1" applyAlignment="1">
      <alignment horizontal="center"/>
    </xf>
    <xf numFmtId="2" fontId="0" fillId="37" borderId="25" xfId="0" applyNumberFormat="1" applyFill="1" applyBorder="1"/>
    <xf numFmtId="0" fontId="0" fillId="42" borderId="0" xfId="0" applyFill="1"/>
    <xf numFmtId="0" fontId="0" fillId="42" borderId="25" xfId="0" applyFill="1" applyBorder="1"/>
    <xf numFmtId="0" fontId="31" fillId="43" borderId="10" xfId="0" applyFont="1" applyFill="1" applyBorder="1"/>
    <xf numFmtId="0" fontId="0" fillId="44" borderId="0" xfId="0" applyFill="1"/>
    <xf numFmtId="0" fontId="27" fillId="0" borderId="0" xfId="0" applyFont="1" applyAlignment="1">
      <alignment horizontal="center" vertical="center" wrapText="1"/>
    </xf>
    <xf numFmtId="0" fontId="18" fillId="0" borderId="0" xfId="0" applyFont="1" applyAlignment="1">
      <alignment horizontal="center"/>
    </xf>
    <xf numFmtId="0" fontId="16" fillId="0" borderId="0" xfId="0" applyFont="1" applyAlignment="1">
      <alignment horizontal="center" vertical="center" wrapText="1"/>
    </xf>
    <xf numFmtId="0" fontId="19" fillId="0" borderId="0" xfId="0" applyFont="1" applyAlignment="1">
      <alignment horizontal="center"/>
    </xf>
    <xf numFmtId="0" fontId="0" fillId="0" borderId="0" xfId="0" applyAlignment="1">
      <alignment horizontal="center" vertical="center" wrapText="1"/>
    </xf>
    <xf numFmtId="0" fontId="22" fillId="34" borderId="0" xfId="0" applyFont="1" applyFill="1" applyAlignment="1">
      <alignment horizontal="center" vertical="center"/>
    </xf>
    <xf numFmtId="0" fontId="23" fillId="34" borderId="0" xfId="0" applyFont="1" applyFill="1" applyAlignment="1">
      <alignment horizontal="center" vertical="center"/>
    </xf>
    <xf numFmtId="0" fontId="21" fillId="34" borderId="0" xfId="0" applyFont="1" applyFill="1" applyAlignment="1">
      <alignment horizontal="center" vertical="center"/>
    </xf>
    <xf numFmtId="0" fontId="16" fillId="0" borderId="0" xfId="0" applyFont="1" applyAlignment="1">
      <alignment horizontal="center" wrapText="1"/>
    </xf>
    <xf numFmtId="0" fontId="32" fillId="0" borderId="0" xfId="0" applyFont="1" applyAlignment="1">
      <alignment horizontal="center" vertical="center"/>
    </xf>
    <xf numFmtId="0" fontId="0" fillId="0" borderId="10" xfId="0" applyBorder="1" applyAlignment="1">
      <alignment horizontal="center" vertical="center" wrapText="1"/>
    </xf>
    <xf numFmtId="10" fontId="0" fillId="0" borderId="13" xfId="1" applyNumberFormat="1" applyFont="1" applyBorder="1" applyAlignment="1">
      <alignment horizontal="center" vertical="center" wrapText="1"/>
    </xf>
    <xf numFmtId="10" fontId="0" fillId="0" borderId="10" xfId="1" applyNumberFormat="1" applyFont="1" applyBorder="1" applyAlignment="1">
      <alignment horizontal="center" vertical="center" wrapText="1"/>
    </xf>
    <xf numFmtId="0" fontId="16" fillId="0" borderId="14" xfId="0" applyFont="1" applyBorder="1" applyAlignment="1">
      <alignment horizontal="center" vertical="center"/>
    </xf>
    <xf numFmtId="0" fontId="16" fillId="0" borderId="15" xfId="0" applyFont="1" applyBorder="1" applyAlignment="1">
      <alignment horizontal="center" vertical="center"/>
    </xf>
    <xf numFmtId="0" fontId="16" fillId="0" borderId="12" xfId="0" applyFont="1" applyBorder="1" applyAlignment="1">
      <alignment horizontal="center" vertical="center"/>
    </xf>
    <xf numFmtId="1" fontId="0" fillId="0" borderId="10" xfId="0" applyNumberFormat="1" applyBorder="1" applyAlignment="1">
      <alignment horizontal="center"/>
    </xf>
    <xf numFmtId="0" fontId="19" fillId="0" borderId="0" xfId="0" applyFont="1" applyAlignment="1">
      <alignment horizontal="center" vertical="center"/>
    </xf>
    <xf numFmtId="0" fontId="16" fillId="0" borderId="10" xfId="0" applyFont="1" applyBorder="1" applyAlignment="1">
      <alignment horizontal="center"/>
    </xf>
    <xf numFmtId="0" fontId="23" fillId="0" borderId="10" xfId="0" applyFont="1" applyBorder="1" applyAlignment="1">
      <alignment horizontal="center"/>
    </xf>
    <xf numFmtId="0" fontId="0" fillId="0" borderId="10" xfId="0" applyBorder="1" applyAlignment="1">
      <alignment horizontal="center"/>
    </xf>
    <xf numFmtId="0" fontId="16" fillId="0" borderId="17" xfId="0" applyFont="1" applyBorder="1" applyAlignment="1">
      <alignment horizontal="center" vertical="center" wrapText="1"/>
    </xf>
    <xf numFmtId="0" fontId="16" fillId="0" borderId="18" xfId="0" applyFont="1" applyBorder="1" applyAlignment="1">
      <alignment horizontal="center" vertical="center" wrapText="1"/>
    </xf>
    <xf numFmtId="0" fontId="16" fillId="0" borderId="19"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22" xfId="0" applyFont="1" applyBorder="1" applyAlignment="1">
      <alignment horizontal="center" vertical="center" wrapText="1"/>
    </xf>
    <xf numFmtId="0" fontId="0" fillId="0" borderId="17"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24" fillId="0" borderId="10" xfId="0" applyFont="1" applyBorder="1" applyAlignment="1">
      <alignment horizontal="center"/>
    </xf>
    <xf numFmtId="0" fontId="20" fillId="0" borderId="10" xfId="0" applyFont="1" applyBorder="1" applyAlignment="1">
      <alignment horizontal="center"/>
    </xf>
    <xf numFmtId="10" fontId="16" fillId="0" borderId="10" xfId="0" applyNumberFormat="1" applyFont="1" applyBorder="1" applyAlignment="1">
      <alignment horizontal="center"/>
    </xf>
    <xf numFmtId="0" fontId="24" fillId="0" borderId="10" xfId="0" applyFont="1" applyBorder="1" applyAlignment="1">
      <alignment horizontal="center" vertical="center"/>
    </xf>
    <xf numFmtId="17" fontId="26" fillId="35" borderId="0" xfId="0" applyNumberFormat="1" applyFont="1" applyFill="1" applyAlignment="1">
      <alignment horizontal="center"/>
    </xf>
    <xf numFmtId="0" fontId="18" fillId="35" borderId="0" xfId="0" applyFont="1" applyFill="1" applyAlignment="1">
      <alignment horizontal="center"/>
    </xf>
    <xf numFmtId="0" fontId="18" fillId="35" borderId="0" xfId="0" applyFont="1" applyFill="1" applyAlignment="1">
      <alignment horizontal="center" vertical="center"/>
    </xf>
    <xf numFmtId="10" fontId="26" fillId="35" borderId="0" xfId="0" applyNumberFormat="1" applyFont="1" applyFill="1" applyAlignment="1">
      <alignment horizontal="center"/>
    </xf>
    <xf numFmtId="0" fontId="18" fillId="0" borderId="0" xfId="0" applyFont="1" applyAlignment="1">
      <alignment horizontal="center" wrapText="1"/>
    </xf>
    <xf numFmtId="0" fontId="23" fillId="0" borderId="0" xfId="0" applyFont="1" applyAlignment="1">
      <alignment horizontal="center" vertical="center" wrapText="1"/>
    </xf>
    <xf numFmtId="0" fontId="25" fillId="35" borderId="0" xfId="0" applyFont="1" applyFill="1" applyAlignment="1">
      <alignment horizontal="center" vertical="center" wrapText="1"/>
    </xf>
    <xf numFmtId="0" fontId="26" fillId="35" borderId="0" xfId="0" applyFont="1" applyFill="1" applyAlignment="1">
      <alignment horizontal="center" vertical="center" wrapText="1"/>
    </xf>
    <xf numFmtId="0" fontId="0" fillId="0" borderId="0" xfId="0" applyAlignment="1">
      <alignment horizontal="center" wrapText="1"/>
    </xf>
    <xf numFmtId="0" fontId="23" fillId="0" borderId="10" xfId="0" applyFont="1" applyBorder="1" applyAlignment="1">
      <alignment horizontal="center" vertical="center"/>
    </xf>
    <xf numFmtId="0" fontId="16" fillId="0" borderId="10" xfId="0" applyFont="1" applyBorder="1" applyAlignment="1">
      <alignment horizontal="center" vertical="center" wrapText="1"/>
    </xf>
    <xf numFmtId="0" fontId="28" fillId="35" borderId="0" xfId="0" applyFont="1" applyFill="1" applyAlignment="1">
      <alignment horizontal="center" vertical="center" wrapText="1"/>
    </xf>
    <xf numFmtId="0" fontId="18" fillId="0" borderId="0" xfId="0" applyFont="1" applyAlignment="1">
      <alignment horizontal="center" vertical="center"/>
    </xf>
    <xf numFmtId="0" fontId="27" fillId="35" borderId="0" xfId="0" applyFont="1" applyFill="1" applyAlignment="1">
      <alignment horizontal="center" vertical="center" wrapText="1"/>
    </xf>
    <xf numFmtId="0" fontId="27" fillId="35" borderId="0" xfId="0" applyFont="1" applyFill="1" applyAlignment="1">
      <alignment horizontal="center" vertical="center"/>
    </xf>
    <xf numFmtId="168" fontId="30" fillId="6" borderId="10" xfId="12" applyNumberFormat="1" applyFont="1" applyBorder="1" applyAlignment="1">
      <alignment horizontal="center" vertical="center"/>
    </xf>
    <xf numFmtId="0" fontId="0" fillId="33" borderId="0" xfId="0" applyFill="1" applyAlignment="1">
      <alignment horizontal="center"/>
    </xf>
    <xf numFmtId="0" fontId="30" fillId="38" borderId="10" xfId="0" applyFont="1" applyFill="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6">
    <dxf>
      <numFmt numFmtId="2" formatCode="0.00"/>
    </dxf>
    <dxf>
      <numFmt numFmtId="165" formatCode="0.0"/>
    </dxf>
    <dxf>
      <numFmt numFmtId="165" formatCode="0.0"/>
    </dxf>
    <dxf>
      <numFmt numFmtId="165" formatCode="0.0"/>
    </dxf>
    <dxf>
      <numFmt numFmtId="165" formatCode="0.0"/>
    </dxf>
    <dxf>
      <numFmt numFmtId="2" formatCode="0.00"/>
    </dxf>
    <dxf>
      <numFmt numFmtId="2" formatCode="0.00"/>
    </dxf>
    <dxf>
      <numFmt numFmtId="2" formatCode="0.00"/>
    </dxf>
    <dxf>
      <numFmt numFmtId="2" formatCode="0.00"/>
    </dxf>
    <dxf>
      <numFmt numFmtId="165" formatCode="0.0"/>
    </dxf>
    <dxf>
      <numFmt numFmtId="164" formatCode="mmm/yyyy"/>
    </dxf>
    <dxf>
      <numFmt numFmtId="2" formatCode="0.00"/>
    </dxf>
    <dxf>
      <font>
        <b/>
      </font>
    </dxf>
    <dxf>
      <font>
        <b/>
      </font>
    </dxf>
    <dxf>
      <font>
        <b/>
      </font>
    </dxf>
    <dxf>
      <font>
        <b/>
      </font>
    </dxf>
    <dxf>
      <font>
        <b/>
      </font>
    </dxf>
    <dxf>
      <font>
        <b/>
      </font>
    </dxf>
    <dxf>
      <font>
        <b/>
      </font>
    </dxf>
    <dxf>
      <font>
        <b/>
      </font>
    </dxf>
    <dxf>
      <numFmt numFmtId="2" formatCode="0.00"/>
    </dxf>
    <dxf>
      <numFmt numFmtId="2" formatCode="0.00"/>
    </dxf>
    <dxf>
      <numFmt numFmtId="0" formatCode="General"/>
    </dxf>
    <dxf>
      <numFmt numFmtId="0" formatCode="General"/>
    </dxf>
    <dxf>
      <numFmt numFmtId="0" formatCode="General"/>
    </dxf>
    <dxf>
      <numFmt numFmtId="164" formatCode="m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CPI Contribution by Broad Category – May 2023</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Question_1!$C$14</c:f>
              <c:strCache>
                <c:ptCount val="1"/>
                <c:pt idx="0">
                  <c:v>Contribution %</c:v>
                </c:pt>
              </c:strCache>
            </c:strRef>
          </c:tx>
          <c:spPr>
            <a:solidFill>
              <a:schemeClr val="accent1"/>
            </a:solidFill>
            <a:ln>
              <a:noFill/>
            </a:ln>
            <a:effectLst/>
          </c:spPr>
          <c:invertIfNegative val="0"/>
          <c:dLbls>
            <c:dLbl>
              <c:idx val="1"/>
              <c:spPr>
                <a:solidFill>
                  <a:schemeClr val="accent6"/>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0-C2E0-48CC-ACE4-565E73BE7B32}"/>
                </c:ext>
              </c:extLst>
            </c:dLbl>
            <c:dLbl>
              <c:idx val="7"/>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C2E0-48CC-ACE4-565E73BE7B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Question_1!$A$15:$A$26</c:f>
              <c:strCache>
                <c:ptCount val="12"/>
                <c:pt idx="0">
                  <c:v>Food</c:v>
                </c:pt>
                <c:pt idx="1">
                  <c:v>Pan, Tobacco &amp; Intoxicants</c:v>
                </c:pt>
                <c:pt idx="2">
                  <c:v>Clothing &amp; Footwear</c:v>
                </c:pt>
                <c:pt idx="3">
                  <c:v>Housing</c:v>
                </c:pt>
                <c:pt idx="4">
                  <c:v>Fuel &amp; Energy</c:v>
                </c:pt>
                <c:pt idx="5">
                  <c:v>Household</c:v>
                </c:pt>
                <c:pt idx="6">
                  <c:v>Health</c:v>
                </c:pt>
                <c:pt idx="7">
                  <c:v>Transport &amp; Communication</c:v>
                </c:pt>
                <c:pt idx="8">
                  <c:v>Recreation</c:v>
                </c:pt>
                <c:pt idx="9">
                  <c:v>Education</c:v>
                </c:pt>
                <c:pt idx="10">
                  <c:v>Personal Care</c:v>
                </c:pt>
                <c:pt idx="11">
                  <c:v>Miscellaneous</c:v>
                </c:pt>
              </c:strCache>
            </c:strRef>
          </c:cat>
          <c:val>
            <c:numRef>
              <c:f>Question_1!$C$15:$C$26</c:f>
              <c:numCache>
                <c:formatCode>0.00%</c:formatCode>
                <c:ptCount val="12"/>
                <c:pt idx="0">
                  <c:v>8.2277061566659204E-2</c:v>
                </c:pt>
                <c:pt idx="1">
                  <c:v>9.3266412491203099E-2</c:v>
                </c:pt>
                <c:pt idx="2">
                  <c:v>8.5146202448436667E-2</c:v>
                </c:pt>
                <c:pt idx="3">
                  <c:v>8.1480507629130672E-2</c:v>
                </c:pt>
                <c:pt idx="4">
                  <c:v>8.4821394046726006E-2</c:v>
                </c:pt>
                <c:pt idx="5">
                  <c:v>8.1294902828153146E-2</c:v>
                </c:pt>
                <c:pt idx="6">
                  <c:v>8.6167028853813013E-2</c:v>
                </c:pt>
                <c:pt idx="7">
                  <c:v>7.646917800273767E-2</c:v>
                </c:pt>
                <c:pt idx="8">
                  <c:v>7.9438854818377966E-2</c:v>
                </c:pt>
                <c:pt idx="9">
                  <c:v>8.2176525632796357E-2</c:v>
                </c:pt>
                <c:pt idx="10">
                  <c:v>8.5935022852591109E-2</c:v>
                </c:pt>
                <c:pt idx="11">
                  <c:v>8.152690882937505E-2</c:v>
                </c:pt>
              </c:numCache>
            </c:numRef>
          </c:val>
          <c:extLst>
            <c:ext xmlns:c16="http://schemas.microsoft.com/office/drawing/2014/chart" uri="{C3380CC4-5D6E-409C-BE32-E72D297353CC}">
              <c16:uniqueId val="{00000000-49B5-44C6-B75D-021ABC933431}"/>
            </c:ext>
          </c:extLst>
        </c:ser>
        <c:dLbls>
          <c:dLblPos val="outEnd"/>
          <c:showLegendKey val="0"/>
          <c:showVal val="1"/>
          <c:showCatName val="0"/>
          <c:showSerName val="0"/>
          <c:showPercent val="0"/>
          <c:showBubbleSize val="0"/>
        </c:dLbls>
        <c:gapWidth val="219"/>
        <c:axId val="629477168"/>
        <c:axId val="629474288"/>
      </c:barChart>
      <c:catAx>
        <c:axId val="6294771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474288"/>
        <c:crosses val="autoZero"/>
        <c:auto val="1"/>
        <c:lblAlgn val="ctr"/>
        <c:lblOffset val="100"/>
        <c:noMultiLvlLbl val="0"/>
      </c:catAx>
      <c:valAx>
        <c:axId val="6294742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47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CPI Contribution by Broad Category – May 2023</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Question_1!$C$14</c:f>
              <c:strCache>
                <c:ptCount val="1"/>
                <c:pt idx="0">
                  <c:v>Contribution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Question_1!$A$15:$A$26</c:f>
              <c:strCache>
                <c:ptCount val="12"/>
                <c:pt idx="0">
                  <c:v>Food</c:v>
                </c:pt>
                <c:pt idx="1">
                  <c:v>Pan, Tobacco &amp; Intoxicants</c:v>
                </c:pt>
                <c:pt idx="2">
                  <c:v>Clothing &amp; Footwear</c:v>
                </c:pt>
                <c:pt idx="3">
                  <c:v>Housing</c:v>
                </c:pt>
                <c:pt idx="4">
                  <c:v>Fuel &amp; Energy</c:v>
                </c:pt>
                <c:pt idx="5">
                  <c:v>Household</c:v>
                </c:pt>
                <c:pt idx="6">
                  <c:v>Health</c:v>
                </c:pt>
                <c:pt idx="7">
                  <c:v>Transport &amp; Communication</c:v>
                </c:pt>
                <c:pt idx="8">
                  <c:v>Recreation</c:v>
                </c:pt>
                <c:pt idx="9">
                  <c:v>Education</c:v>
                </c:pt>
                <c:pt idx="10">
                  <c:v>Personal Care</c:v>
                </c:pt>
                <c:pt idx="11">
                  <c:v>Miscellaneous</c:v>
                </c:pt>
              </c:strCache>
            </c:strRef>
          </c:cat>
          <c:val>
            <c:numRef>
              <c:f>Question_1!$C$15:$C$26</c:f>
              <c:numCache>
                <c:formatCode>0.00%</c:formatCode>
                <c:ptCount val="12"/>
                <c:pt idx="0">
                  <c:v>8.2277061566659204E-2</c:v>
                </c:pt>
                <c:pt idx="1">
                  <c:v>9.3266412491203099E-2</c:v>
                </c:pt>
                <c:pt idx="2">
                  <c:v>8.5146202448436667E-2</c:v>
                </c:pt>
                <c:pt idx="3">
                  <c:v>8.1480507629130672E-2</c:v>
                </c:pt>
                <c:pt idx="4">
                  <c:v>8.4821394046726006E-2</c:v>
                </c:pt>
                <c:pt idx="5">
                  <c:v>8.1294902828153146E-2</c:v>
                </c:pt>
                <c:pt idx="6">
                  <c:v>8.6167028853813013E-2</c:v>
                </c:pt>
                <c:pt idx="7">
                  <c:v>7.646917800273767E-2</c:v>
                </c:pt>
                <c:pt idx="8">
                  <c:v>7.9438854818377966E-2</c:v>
                </c:pt>
                <c:pt idx="9">
                  <c:v>8.2176525632796357E-2</c:v>
                </c:pt>
                <c:pt idx="10">
                  <c:v>8.5935022852591109E-2</c:v>
                </c:pt>
                <c:pt idx="11">
                  <c:v>8.152690882937505E-2</c:v>
                </c:pt>
              </c:numCache>
            </c:numRef>
          </c:val>
          <c:extLst>
            <c:ext xmlns:c16="http://schemas.microsoft.com/office/drawing/2014/chart" uri="{C3380CC4-5D6E-409C-BE32-E72D297353CC}">
              <c16:uniqueId val="{00000000-4959-4FEC-97A2-EF1C09902DA6}"/>
            </c:ext>
          </c:extLst>
        </c:ser>
        <c:dLbls>
          <c:dLblPos val="outEnd"/>
          <c:showLegendKey val="0"/>
          <c:showVal val="1"/>
          <c:showCatName val="0"/>
          <c:showSerName val="0"/>
          <c:showPercent val="0"/>
          <c:showBubbleSize val="0"/>
        </c:dLbls>
        <c:gapWidth val="219"/>
        <c:axId val="629477168"/>
        <c:axId val="629474288"/>
      </c:barChart>
      <c:catAx>
        <c:axId val="6294771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474288"/>
        <c:crosses val="autoZero"/>
        <c:auto val="1"/>
        <c:lblAlgn val="ctr"/>
        <c:lblOffset val="100"/>
        <c:noMultiLvlLbl val="0"/>
      </c:catAx>
      <c:valAx>
        <c:axId val="6294742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47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[India_CPI_Inflation_Case_Study.xlsx] CPI Trend!PivotTable20</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CPI Index Trend Over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CPI Trend'!$B$3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CPI Trend'!$A$4:$A$127</c:f>
              <c:strCache>
                <c:ptCount val="124"/>
                <c:pt idx="0">
                  <c:v>Jan-2013</c:v>
                </c:pt>
                <c:pt idx="1">
                  <c:v>Feb-2013</c:v>
                </c:pt>
                <c:pt idx="2">
                  <c:v>Mar-2013</c:v>
                </c:pt>
                <c:pt idx="3">
                  <c:v>Apr-2013</c:v>
                </c:pt>
                <c:pt idx="4">
                  <c:v>May-2013</c:v>
                </c:pt>
                <c:pt idx="5">
                  <c:v>Jun-2013</c:v>
                </c:pt>
                <c:pt idx="6">
                  <c:v>Jul-2013</c:v>
                </c:pt>
                <c:pt idx="7">
                  <c:v>Aug-2013</c:v>
                </c:pt>
                <c:pt idx="8">
                  <c:v>Sep-2013</c:v>
                </c:pt>
                <c:pt idx="9">
                  <c:v>Oct-2013</c:v>
                </c:pt>
                <c:pt idx="10">
                  <c:v>Nov-2013</c:v>
                </c:pt>
                <c:pt idx="11">
                  <c:v>Dec-2013</c:v>
                </c:pt>
                <c:pt idx="12">
                  <c:v>Jan-2014</c:v>
                </c:pt>
                <c:pt idx="13">
                  <c:v>Feb-2014</c:v>
                </c:pt>
                <c:pt idx="14">
                  <c:v>Mar-2014</c:v>
                </c:pt>
                <c:pt idx="15">
                  <c:v>Apr-2014</c:v>
                </c:pt>
                <c:pt idx="16">
                  <c:v>May-2014</c:v>
                </c:pt>
                <c:pt idx="17">
                  <c:v>Jun-2014</c:v>
                </c:pt>
                <c:pt idx="18">
                  <c:v>Jul-2014</c:v>
                </c:pt>
                <c:pt idx="19">
                  <c:v>Aug-2014</c:v>
                </c:pt>
                <c:pt idx="20">
                  <c:v>Sep-2014</c:v>
                </c:pt>
                <c:pt idx="21">
                  <c:v>Oct-2014</c:v>
                </c:pt>
                <c:pt idx="22">
                  <c:v>Nov-2014</c:v>
                </c:pt>
                <c:pt idx="23">
                  <c:v>Dec-2014</c:v>
                </c:pt>
                <c:pt idx="24">
                  <c:v>Jan-2015</c:v>
                </c:pt>
                <c:pt idx="25">
                  <c:v>Feb-2015</c:v>
                </c:pt>
                <c:pt idx="26">
                  <c:v>Mar-2015</c:v>
                </c:pt>
                <c:pt idx="27">
                  <c:v>Apr-2015</c:v>
                </c:pt>
                <c:pt idx="28">
                  <c:v>May-2015</c:v>
                </c:pt>
                <c:pt idx="29">
                  <c:v>Jun-2015</c:v>
                </c:pt>
                <c:pt idx="30">
                  <c:v>Jul-2015</c:v>
                </c:pt>
                <c:pt idx="31">
                  <c:v>Aug-2015</c:v>
                </c:pt>
                <c:pt idx="32">
                  <c:v>Sep-2015</c:v>
                </c:pt>
                <c:pt idx="33">
                  <c:v>Oct-2015</c:v>
                </c:pt>
                <c:pt idx="34">
                  <c:v>Nov-2015</c:v>
                </c:pt>
                <c:pt idx="35">
                  <c:v>Dec-2015</c:v>
                </c:pt>
                <c:pt idx="36">
                  <c:v>Jan-2016</c:v>
                </c:pt>
                <c:pt idx="37">
                  <c:v>Feb-2016</c:v>
                </c:pt>
                <c:pt idx="38">
                  <c:v>Mar-2016</c:v>
                </c:pt>
                <c:pt idx="39">
                  <c:v>Apr-2016</c:v>
                </c:pt>
                <c:pt idx="40">
                  <c:v>May-2016</c:v>
                </c:pt>
                <c:pt idx="41">
                  <c:v>Jun-2016</c:v>
                </c:pt>
                <c:pt idx="42">
                  <c:v>Jul-2016</c:v>
                </c:pt>
                <c:pt idx="43">
                  <c:v>Aug-2016</c:v>
                </c:pt>
                <c:pt idx="44">
                  <c:v>Sep-2016</c:v>
                </c:pt>
                <c:pt idx="45">
                  <c:v>Oct-2016</c:v>
                </c:pt>
                <c:pt idx="46">
                  <c:v>Nov-2016</c:v>
                </c:pt>
                <c:pt idx="47">
                  <c:v>Dec-2016</c:v>
                </c:pt>
                <c:pt idx="48">
                  <c:v>Jan-2017</c:v>
                </c:pt>
                <c:pt idx="49">
                  <c:v>Feb-2017</c:v>
                </c:pt>
                <c:pt idx="50">
                  <c:v>Mar-2017</c:v>
                </c:pt>
                <c:pt idx="51">
                  <c:v>Apr-2017</c:v>
                </c:pt>
                <c:pt idx="52">
                  <c:v>May-2017</c:v>
                </c:pt>
                <c:pt idx="53">
                  <c:v>Jun-2017</c:v>
                </c:pt>
                <c:pt idx="54">
                  <c:v>Jul-2017</c:v>
                </c:pt>
                <c:pt idx="55">
                  <c:v>Aug-2017</c:v>
                </c:pt>
                <c:pt idx="56">
                  <c:v>Sep-2017</c:v>
                </c:pt>
                <c:pt idx="57">
                  <c:v>Oct-2017</c:v>
                </c:pt>
                <c:pt idx="58">
                  <c:v>Nov-2017</c:v>
                </c:pt>
                <c:pt idx="59">
                  <c:v>Dec-2017</c:v>
                </c:pt>
                <c:pt idx="60">
                  <c:v>Jan-2018</c:v>
                </c:pt>
                <c:pt idx="61">
                  <c:v>Feb-2018</c:v>
                </c:pt>
                <c:pt idx="62">
                  <c:v>Mar-2018</c:v>
                </c:pt>
                <c:pt idx="63">
                  <c:v>Apr-2018</c:v>
                </c:pt>
                <c:pt idx="64">
                  <c:v>May-2018</c:v>
                </c:pt>
                <c:pt idx="65">
                  <c:v>Jun-2018</c:v>
                </c:pt>
                <c:pt idx="66">
                  <c:v>Jul-2018</c:v>
                </c:pt>
                <c:pt idx="67">
                  <c:v>Aug-2018</c:v>
                </c:pt>
                <c:pt idx="68">
                  <c:v>Sep-2018</c:v>
                </c:pt>
                <c:pt idx="69">
                  <c:v>Oct-2018</c:v>
                </c:pt>
                <c:pt idx="70">
                  <c:v>Nov-2018</c:v>
                </c:pt>
                <c:pt idx="71">
                  <c:v>Dec-2018</c:v>
                </c:pt>
                <c:pt idx="72">
                  <c:v>Jan-2019</c:v>
                </c:pt>
                <c:pt idx="73">
                  <c:v>Feb-2019</c:v>
                </c:pt>
                <c:pt idx="74">
                  <c:v>Mar-2019</c:v>
                </c:pt>
                <c:pt idx="75">
                  <c:v>May-2019</c:v>
                </c:pt>
                <c:pt idx="76">
                  <c:v>Jun-2019</c:v>
                </c:pt>
                <c:pt idx="77">
                  <c:v>Jul-2019</c:v>
                </c:pt>
                <c:pt idx="78">
                  <c:v>Aug-2019</c:v>
                </c:pt>
                <c:pt idx="79">
                  <c:v>Sep-2019</c:v>
                </c:pt>
                <c:pt idx="80">
                  <c:v>Oct-2019</c:v>
                </c:pt>
                <c:pt idx="81">
                  <c:v>Nov-2019</c:v>
                </c:pt>
                <c:pt idx="82">
                  <c:v>Dec-2019</c:v>
                </c:pt>
                <c:pt idx="83">
                  <c:v>Jan-2020</c:v>
                </c:pt>
                <c:pt idx="84">
                  <c:v>Feb-2020</c:v>
                </c:pt>
                <c:pt idx="85">
                  <c:v>Mar-2020</c:v>
                </c:pt>
                <c:pt idx="86">
                  <c:v>Apr-2020</c:v>
                </c:pt>
                <c:pt idx="87">
                  <c:v>May-2020</c:v>
                </c:pt>
                <c:pt idx="88">
                  <c:v>Jun-2020</c:v>
                </c:pt>
                <c:pt idx="89">
                  <c:v>Jul-2020</c:v>
                </c:pt>
                <c:pt idx="90">
                  <c:v>Aug-2020</c:v>
                </c:pt>
                <c:pt idx="91">
                  <c:v>Sep-2020</c:v>
                </c:pt>
                <c:pt idx="92">
                  <c:v>Oct-2020</c:v>
                </c:pt>
                <c:pt idx="93">
                  <c:v>Nov-2020</c:v>
                </c:pt>
                <c:pt idx="94">
                  <c:v>Dec-2020</c:v>
                </c:pt>
                <c:pt idx="95">
                  <c:v>Jan-2021</c:v>
                </c:pt>
                <c:pt idx="96">
                  <c:v>Feb-2021</c:v>
                </c:pt>
                <c:pt idx="97">
                  <c:v>Mar-2021</c:v>
                </c:pt>
                <c:pt idx="98">
                  <c:v>Apr-2021</c:v>
                </c:pt>
                <c:pt idx="99">
                  <c:v>May-2021</c:v>
                </c:pt>
                <c:pt idx="100">
                  <c:v>Jun-2021</c:v>
                </c:pt>
                <c:pt idx="101">
                  <c:v>Jul-2021</c:v>
                </c:pt>
                <c:pt idx="102">
                  <c:v>Aug-2021</c:v>
                </c:pt>
                <c:pt idx="103">
                  <c:v>Sep-2021</c:v>
                </c:pt>
                <c:pt idx="104">
                  <c:v>Oct-2021</c:v>
                </c:pt>
                <c:pt idx="105">
                  <c:v>Nov-2021</c:v>
                </c:pt>
                <c:pt idx="106">
                  <c:v>Dec-2021</c:v>
                </c:pt>
                <c:pt idx="107">
                  <c:v>Jan-2022</c:v>
                </c:pt>
                <c:pt idx="108">
                  <c:v>Feb-2022</c:v>
                </c:pt>
                <c:pt idx="109">
                  <c:v>Mar-2022</c:v>
                </c:pt>
                <c:pt idx="110">
                  <c:v>Apr-2022</c:v>
                </c:pt>
                <c:pt idx="111">
                  <c:v>May-2022</c:v>
                </c:pt>
                <c:pt idx="112">
                  <c:v>Jun-2022</c:v>
                </c:pt>
                <c:pt idx="113">
                  <c:v>Jul-2022</c:v>
                </c:pt>
                <c:pt idx="114">
                  <c:v>Aug-2022</c:v>
                </c:pt>
                <c:pt idx="115">
                  <c:v>Sep-2022</c:v>
                </c:pt>
                <c:pt idx="116">
                  <c:v>Oct-2022</c:v>
                </c:pt>
                <c:pt idx="117">
                  <c:v>Nov-2022</c:v>
                </c:pt>
                <c:pt idx="118">
                  <c:v>Dec-2022</c:v>
                </c:pt>
                <c:pt idx="119">
                  <c:v>Jan-2023</c:v>
                </c:pt>
                <c:pt idx="120">
                  <c:v>Feb-2023</c:v>
                </c:pt>
                <c:pt idx="121">
                  <c:v>Mar-2023</c:v>
                </c:pt>
                <c:pt idx="122">
                  <c:v>Apr-2023</c:v>
                </c:pt>
                <c:pt idx="123">
                  <c:v>May-2023</c:v>
                </c:pt>
              </c:strCache>
            </c:strRef>
          </c:cat>
          <c:val>
            <c:numRef>
              <c:f>' CPI Trend'!$B$4:$B$127</c:f>
              <c:numCache>
                <c:formatCode>General</c:formatCode>
                <c:ptCount val="124"/>
                <c:pt idx="0">
                  <c:v>104.6</c:v>
                </c:pt>
                <c:pt idx="1">
                  <c:v>105.3</c:v>
                </c:pt>
                <c:pt idx="2">
                  <c:v>105.5</c:v>
                </c:pt>
                <c:pt idx="3">
                  <c:v>106.1</c:v>
                </c:pt>
                <c:pt idx="4">
                  <c:v>106.9</c:v>
                </c:pt>
                <c:pt idx="5">
                  <c:v>109.3</c:v>
                </c:pt>
                <c:pt idx="6">
                  <c:v>111</c:v>
                </c:pt>
                <c:pt idx="7">
                  <c:v>112.4</c:v>
                </c:pt>
                <c:pt idx="8">
                  <c:v>113.7</c:v>
                </c:pt>
                <c:pt idx="9">
                  <c:v>114.8</c:v>
                </c:pt>
                <c:pt idx="10">
                  <c:v>116.3</c:v>
                </c:pt>
                <c:pt idx="11">
                  <c:v>114.5</c:v>
                </c:pt>
                <c:pt idx="12">
                  <c:v>113.6</c:v>
                </c:pt>
                <c:pt idx="13">
                  <c:v>113.6</c:v>
                </c:pt>
                <c:pt idx="14">
                  <c:v>114.2</c:v>
                </c:pt>
                <c:pt idx="15">
                  <c:v>115.1</c:v>
                </c:pt>
                <c:pt idx="16">
                  <c:v>115.8</c:v>
                </c:pt>
                <c:pt idx="17">
                  <c:v>116.7</c:v>
                </c:pt>
                <c:pt idx="18">
                  <c:v>119.2</c:v>
                </c:pt>
                <c:pt idx="19">
                  <c:v>120.3</c:v>
                </c:pt>
                <c:pt idx="20">
                  <c:v>120.1</c:v>
                </c:pt>
                <c:pt idx="21">
                  <c:v>120.1</c:v>
                </c:pt>
                <c:pt idx="22">
                  <c:v>120.1</c:v>
                </c:pt>
                <c:pt idx="23">
                  <c:v>119.4</c:v>
                </c:pt>
                <c:pt idx="24">
                  <c:v>119.5</c:v>
                </c:pt>
                <c:pt idx="25">
                  <c:v>119.7</c:v>
                </c:pt>
                <c:pt idx="26">
                  <c:v>120.2</c:v>
                </c:pt>
                <c:pt idx="27">
                  <c:v>120.7</c:v>
                </c:pt>
                <c:pt idx="28">
                  <c:v>121.6</c:v>
                </c:pt>
                <c:pt idx="29">
                  <c:v>123</c:v>
                </c:pt>
                <c:pt idx="30">
                  <c:v>123.6</c:v>
                </c:pt>
                <c:pt idx="31">
                  <c:v>124.8</c:v>
                </c:pt>
                <c:pt idx="32">
                  <c:v>125.4</c:v>
                </c:pt>
                <c:pt idx="33">
                  <c:v>126.1</c:v>
                </c:pt>
                <c:pt idx="34">
                  <c:v>126.6</c:v>
                </c:pt>
                <c:pt idx="35">
                  <c:v>126.1</c:v>
                </c:pt>
                <c:pt idx="36">
                  <c:v>126.3</c:v>
                </c:pt>
                <c:pt idx="37">
                  <c:v>126</c:v>
                </c:pt>
                <c:pt idx="38">
                  <c:v>126</c:v>
                </c:pt>
                <c:pt idx="39">
                  <c:v>127.3</c:v>
                </c:pt>
                <c:pt idx="40">
                  <c:v>128.6</c:v>
                </c:pt>
                <c:pt idx="41">
                  <c:v>130.1</c:v>
                </c:pt>
                <c:pt idx="42">
                  <c:v>131.1</c:v>
                </c:pt>
                <c:pt idx="43">
                  <c:v>131.1</c:v>
                </c:pt>
                <c:pt idx="44">
                  <c:v>130.9</c:v>
                </c:pt>
                <c:pt idx="45">
                  <c:v>131.4</c:v>
                </c:pt>
                <c:pt idx="46">
                  <c:v>131.19999999999999</c:v>
                </c:pt>
                <c:pt idx="47">
                  <c:v>130.4</c:v>
                </c:pt>
                <c:pt idx="48">
                  <c:v>130.30000000000001</c:v>
                </c:pt>
                <c:pt idx="49">
                  <c:v>130.6</c:v>
                </c:pt>
                <c:pt idx="50">
                  <c:v>130.9</c:v>
                </c:pt>
                <c:pt idx="51">
                  <c:v>131.1</c:v>
                </c:pt>
                <c:pt idx="52">
                  <c:v>131.4</c:v>
                </c:pt>
                <c:pt idx="53">
                  <c:v>132</c:v>
                </c:pt>
                <c:pt idx="54">
                  <c:v>134.19999999999999</c:v>
                </c:pt>
                <c:pt idx="55">
                  <c:v>135.4</c:v>
                </c:pt>
                <c:pt idx="56">
                  <c:v>135.19999999999999</c:v>
                </c:pt>
                <c:pt idx="57">
                  <c:v>136.1</c:v>
                </c:pt>
                <c:pt idx="58">
                  <c:v>137.6</c:v>
                </c:pt>
                <c:pt idx="59">
                  <c:v>137.19999999999999</c:v>
                </c:pt>
                <c:pt idx="60">
                  <c:v>136.9</c:v>
                </c:pt>
                <c:pt idx="61">
                  <c:v>136.4</c:v>
                </c:pt>
                <c:pt idx="62">
                  <c:v>136.5</c:v>
                </c:pt>
                <c:pt idx="63">
                  <c:v>137.1</c:v>
                </c:pt>
                <c:pt idx="64">
                  <c:v>137.80000000000001</c:v>
                </c:pt>
                <c:pt idx="65">
                  <c:v>138.5</c:v>
                </c:pt>
                <c:pt idx="66">
                  <c:v>139.80000000000001</c:v>
                </c:pt>
                <c:pt idx="67">
                  <c:v>140.4</c:v>
                </c:pt>
                <c:pt idx="68">
                  <c:v>140.19999999999999</c:v>
                </c:pt>
                <c:pt idx="69">
                  <c:v>140.80000000000001</c:v>
                </c:pt>
                <c:pt idx="70">
                  <c:v>140.80000000000001</c:v>
                </c:pt>
                <c:pt idx="71">
                  <c:v>140.1</c:v>
                </c:pt>
                <c:pt idx="72">
                  <c:v>139.6</c:v>
                </c:pt>
                <c:pt idx="73">
                  <c:v>139.9</c:v>
                </c:pt>
                <c:pt idx="74">
                  <c:v>140.4</c:v>
                </c:pt>
                <c:pt idx="75">
                  <c:v>142</c:v>
                </c:pt>
                <c:pt idx="76">
                  <c:v>142.9</c:v>
                </c:pt>
                <c:pt idx="77">
                  <c:v>144.19999999999999</c:v>
                </c:pt>
                <c:pt idx="78">
                  <c:v>145</c:v>
                </c:pt>
                <c:pt idx="79">
                  <c:v>145.80000000000001</c:v>
                </c:pt>
                <c:pt idx="80">
                  <c:v>147.19999999999999</c:v>
                </c:pt>
                <c:pt idx="81">
                  <c:v>148.6</c:v>
                </c:pt>
                <c:pt idx="82">
                  <c:v>150.4</c:v>
                </c:pt>
                <c:pt idx="83">
                  <c:v>150.19999999999999</c:v>
                </c:pt>
                <c:pt idx="84">
                  <c:v>149.1</c:v>
                </c:pt>
                <c:pt idx="85">
                  <c:v>148.6</c:v>
                </c:pt>
                <c:pt idx="86">
                  <c:v>149.66666666666666</c:v>
                </c:pt>
                <c:pt idx="87">
                  <c:v>150.73333333333332</c:v>
                </c:pt>
                <c:pt idx="88">
                  <c:v>151.80000000000001</c:v>
                </c:pt>
                <c:pt idx="89">
                  <c:v>151.80000000000001</c:v>
                </c:pt>
                <c:pt idx="90">
                  <c:v>153.9</c:v>
                </c:pt>
                <c:pt idx="91">
                  <c:v>154.69999999999999</c:v>
                </c:pt>
                <c:pt idx="92">
                  <c:v>156.4</c:v>
                </c:pt>
                <c:pt idx="93">
                  <c:v>158.4</c:v>
                </c:pt>
                <c:pt idx="94">
                  <c:v>158.9</c:v>
                </c:pt>
                <c:pt idx="95">
                  <c:v>157.30000000000001</c:v>
                </c:pt>
                <c:pt idx="96">
                  <c:v>156.6</c:v>
                </c:pt>
                <c:pt idx="97">
                  <c:v>156.80000000000001</c:v>
                </c:pt>
                <c:pt idx="98">
                  <c:v>157.80000000000001</c:v>
                </c:pt>
                <c:pt idx="99">
                  <c:v>160.4</c:v>
                </c:pt>
                <c:pt idx="100">
                  <c:v>161.30000000000001</c:v>
                </c:pt>
                <c:pt idx="101">
                  <c:v>162.5</c:v>
                </c:pt>
                <c:pt idx="102">
                  <c:v>163.19999999999999</c:v>
                </c:pt>
                <c:pt idx="103">
                  <c:v>163.19999999999999</c:v>
                </c:pt>
                <c:pt idx="104">
                  <c:v>165.5</c:v>
                </c:pt>
                <c:pt idx="105">
                  <c:v>166.7</c:v>
                </c:pt>
                <c:pt idx="106">
                  <c:v>166.2</c:v>
                </c:pt>
                <c:pt idx="107">
                  <c:v>165.7</c:v>
                </c:pt>
                <c:pt idx="108">
                  <c:v>166.1</c:v>
                </c:pt>
                <c:pt idx="109">
                  <c:v>167.7</c:v>
                </c:pt>
                <c:pt idx="110">
                  <c:v>170.1</c:v>
                </c:pt>
                <c:pt idx="111">
                  <c:v>171.7</c:v>
                </c:pt>
                <c:pt idx="112">
                  <c:v>172.6</c:v>
                </c:pt>
                <c:pt idx="113">
                  <c:v>173.4</c:v>
                </c:pt>
                <c:pt idx="114">
                  <c:v>174.3</c:v>
                </c:pt>
                <c:pt idx="115">
                  <c:v>175.3</c:v>
                </c:pt>
                <c:pt idx="116">
                  <c:v>176.7</c:v>
                </c:pt>
                <c:pt idx="117">
                  <c:v>176.5</c:v>
                </c:pt>
                <c:pt idx="118">
                  <c:v>175.7</c:v>
                </c:pt>
                <c:pt idx="119">
                  <c:v>176.5</c:v>
                </c:pt>
                <c:pt idx="120">
                  <c:v>177.2</c:v>
                </c:pt>
                <c:pt idx="121">
                  <c:v>177.2</c:v>
                </c:pt>
                <c:pt idx="122">
                  <c:v>178.1</c:v>
                </c:pt>
                <c:pt idx="123">
                  <c:v>179.1</c:v>
                </c:pt>
              </c:numCache>
            </c:numRef>
          </c:val>
          <c:smooth val="0"/>
          <c:extLst>
            <c:ext xmlns:c16="http://schemas.microsoft.com/office/drawing/2014/chart" uri="{C3380CC4-5D6E-409C-BE32-E72D297353CC}">
              <c16:uniqueId val="{00000000-60E3-48CF-B473-7609C280754C}"/>
            </c:ext>
          </c:extLst>
        </c:ser>
        <c:dLbls>
          <c:dLblPos val="t"/>
          <c:showLegendKey val="0"/>
          <c:showVal val="1"/>
          <c:showCatName val="0"/>
          <c:showSerName val="0"/>
          <c:showPercent val="0"/>
          <c:showBubbleSize val="0"/>
        </c:dLbls>
        <c:smooth val="0"/>
        <c:axId val="913752848"/>
        <c:axId val="913746128"/>
      </c:lineChart>
      <c:catAx>
        <c:axId val="913752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746128"/>
        <c:crosses val="autoZero"/>
        <c:auto val="1"/>
        <c:lblAlgn val="ctr"/>
        <c:lblOffset val="100"/>
        <c:noMultiLvlLbl val="0"/>
      </c:catAx>
      <c:valAx>
        <c:axId val="91374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75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[India_CPI_Inflation_Case_Study.xlsx]Sheet7!PivotTable21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CPI Index Trend by Major Categories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Average of Food</c:v>
                </c:pt>
              </c:strCache>
            </c:strRef>
          </c:tx>
          <c:spPr>
            <a:ln w="28575" cap="rnd">
              <a:solidFill>
                <a:schemeClr val="accent1"/>
              </a:solidFill>
              <a:round/>
            </a:ln>
            <a:effectLst/>
          </c:spPr>
          <c:marker>
            <c:symbol val="none"/>
          </c:marker>
          <c:cat>
            <c:strRef>
              <c:f>Sheet7!$A$4:$A$127</c:f>
              <c:strCache>
                <c:ptCount val="124"/>
                <c:pt idx="0">
                  <c:v>Jan-2013</c:v>
                </c:pt>
                <c:pt idx="1">
                  <c:v>Feb-2013</c:v>
                </c:pt>
                <c:pt idx="2">
                  <c:v>Mar-2013</c:v>
                </c:pt>
                <c:pt idx="3">
                  <c:v>Apr-2013</c:v>
                </c:pt>
                <c:pt idx="4">
                  <c:v>May-2013</c:v>
                </c:pt>
                <c:pt idx="5">
                  <c:v>Jun-2013</c:v>
                </c:pt>
                <c:pt idx="6">
                  <c:v>Jul-2013</c:v>
                </c:pt>
                <c:pt idx="7">
                  <c:v>Aug-2013</c:v>
                </c:pt>
                <c:pt idx="8">
                  <c:v>Sep-2013</c:v>
                </c:pt>
                <c:pt idx="9">
                  <c:v>Oct-2013</c:v>
                </c:pt>
                <c:pt idx="10">
                  <c:v>Nov-2013</c:v>
                </c:pt>
                <c:pt idx="11">
                  <c:v>Dec-2013</c:v>
                </c:pt>
                <c:pt idx="12">
                  <c:v>Jan-2014</c:v>
                </c:pt>
                <c:pt idx="13">
                  <c:v>Feb-2014</c:v>
                </c:pt>
                <c:pt idx="14">
                  <c:v>Mar-2014</c:v>
                </c:pt>
                <c:pt idx="15">
                  <c:v>Apr-2014</c:v>
                </c:pt>
                <c:pt idx="16">
                  <c:v>May-2014</c:v>
                </c:pt>
                <c:pt idx="17">
                  <c:v>Jun-2014</c:v>
                </c:pt>
                <c:pt idx="18">
                  <c:v>Jul-2014</c:v>
                </c:pt>
                <c:pt idx="19">
                  <c:v>Aug-2014</c:v>
                </c:pt>
                <c:pt idx="20">
                  <c:v>Sep-2014</c:v>
                </c:pt>
                <c:pt idx="21">
                  <c:v>Oct-2014</c:v>
                </c:pt>
                <c:pt idx="22">
                  <c:v>Nov-2014</c:v>
                </c:pt>
                <c:pt idx="23">
                  <c:v>Dec-2014</c:v>
                </c:pt>
                <c:pt idx="24">
                  <c:v>Jan-2015</c:v>
                </c:pt>
                <c:pt idx="25">
                  <c:v>Feb-2015</c:v>
                </c:pt>
                <c:pt idx="26">
                  <c:v>Mar-2015</c:v>
                </c:pt>
                <c:pt idx="27">
                  <c:v>Apr-2015</c:v>
                </c:pt>
                <c:pt idx="28">
                  <c:v>May-2015</c:v>
                </c:pt>
                <c:pt idx="29">
                  <c:v>Jun-2015</c:v>
                </c:pt>
                <c:pt idx="30">
                  <c:v>Jul-2015</c:v>
                </c:pt>
                <c:pt idx="31">
                  <c:v>Aug-2015</c:v>
                </c:pt>
                <c:pt idx="32">
                  <c:v>Sep-2015</c:v>
                </c:pt>
                <c:pt idx="33">
                  <c:v>Oct-2015</c:v>
                </c:pt>
                <c:pt idx="34">
                  <c:v>Nov-2015</c:v>
                </c:pt>
                <c:pt idx="35">
                  <c:v>Dec-2015</c:v>
                </c:pt>
                <c:pt idx="36">
                  <c:v>Jan-2016</c:v>
                </c:pt>
                <c:pt idx="37">
                  <c:v>Feb-2016</c:v>
                </c:pt>
                <c:pt idx="38">
                  <c:v>Mar-2016</c:v>
                </c:pt>
                <c:pt idx="39">
                  <c:v>Apr-2016</c:v>
                </c:pt>
                <c:pt idx="40">
                  <c:v>May-2016</c:v>
                </c:pt>
                <c:pt idx="41">
                  <c:v>Jun-2016</c:v>
                </c:pt>
                <c:pt idx="42">
                  <c:v>Jul-2016</c:v>
                </c:pt>
                <c:pt idx="43">
                  <c:v>Aug-2016</c:v>
                </c:pt>
                <c:pt idx="44">
                  <c:v>Sep-2016</c:v>
                </c:pt>
                <c:pt idx="45">
                  <c:v>Oct-2016</c:v>
                </c:pt>
                <c:pt idx="46">
                  <c:v>Nov-2016</c:v>
                </c:pt>
                <c:pt idx="47">
                  <c:v>Dec-2016</c:v>
                </c:pt>
                <c:pt idx="48">
                  <c:v>Jan-2017</c:v>
                </c:pt>
                <c:pt idx="49">
                  <c:v>Feb-2017</c:v>
                </c:pt>
                <c:pt idx="50">
                  <c:v>Mar-2017</c:v>
                </c:pt>
                <c:pt idx="51">
                  <c:v>Apr-2017</c:v>
                </c:pt>
                <c:pt idx="52">
                  <c:v>May-2017</c:v>
                </c:pt>
                <c:pt idx="53">
                  <c:v>Jun-2017</c:v>
                </c:pt>
                <c:pt idx="54">
                  <c:v>Jul-2017</c:v>
                </c:pt>
                <c:pt idx="55">
                  <c:v>Aug-2017</c:v>
                </c:pt>
                <c:pt idx="56">
                  <c:v>Sep-2017</c:v>
                </c:pt>
                <c:pt idx="57">
                  <c:v>Oct-2017</c:v>
                </c:pt>
                <c:pt idx="58">
                  <c:v>Nov-2017</c:v>
                </c:pt>
                <c:pt idx="59">
                  <c:v>Dec-2017</c:v>
                </c:pt>
                <c:pt idx="60">
                  <c:v>Jan-2018</c:v>
                </c:pt>
                <c:pt idx="61">
                  <c:v>Feb-2018</c:v>
                </c:pt>
                <c:pt idx="62">
                  <c:v>Mar-2018</c:v>
                </c:pt>
                <c:pt idx="63">
                  <c:v>Apr-2018</c:v>
                </c:pt>
                <c:pt idx="64">
                  <c:v>May-2018</c:v>
                </c:pt>
                <c:pt idx="65">
                  <c:v>Jun-2018</c:v>
                </c:pt>
                <c:pt idx="66">
                  <c:v>Jul-2018</c:v>
                </c:pt>
                <c:pt idx="67">
                  <c:v>Aug-2018</c:v>
                </c:pt>
                <c:pt idx="68">
                  <c:v>Sep-2018</c:v>
                </c:pt>
                <c:pt idx="69">
                  <c:v>Oct-2018</c:v>
                </c:pt>
                <c:pt idx="70">
                  <c:v>Nov-2018</c:v>
                </c:pt>
                <c:pt idx="71">
                  <c:v>Dec-2018</c:v>
                </c:pt>
                <c:pt idx="72">
                  <c:v>Jan-2019</c:v>
                </c:pt>
                <c:pt idx="73">
                  <c:v>Feb-2019</c:v>
                </c:pt>
                <c:pt idx="74">
                  <c:v>Mar-2019</c:v>
                </c:pt>
                <c:pt idx="75">
                  <c:v>May-2019</c:v>
                </c:pt>
                <c:pt idx="76">
                  <c:v>Jun-2019</c:v>
                </c:pt>
                <c:pt idx="77">
                  <c:v>Jul-2019</c:v>
                </c:pt>
                <c:pt idx="78">
                  <c:v>Aug-2019</c:v>
                </c:pt>
                <c:pt idx="79">
                  <c:v>Sep-2019</c:v>
                </c:pt>
                <c:pt idx="80">
                  <c:v>Oct-2019</c:v>
                </c:pt>
                <c:pt idx="81">
                  <c:v>Nov-2019</c:v>
                </c:pt>
                <c:pt idx="82">
                  <c:v>Dec-2019</c:v>
                </c:pt>
                <c:pt idx="83">
                  <c:v>Jan-2020</c:v>
                </c:pt>
                <c:pt idx="84">
                  <c:v>Feb-2020</c:v>
                </c:pt>
                <c:pt idx="85">
                  <c:v>Mar-2020</c:v>
                </c:pt>
                <c:pt idx="86">
                  <c:v>Apr-2020</c:v>
                </c:pt>
                <c:pt idx="87">
                  <c:v>May-2020</c:v>
                </c:pt>
                <c:pt idx="88">
                  <c:v>Jun-2020</c:v>
                </c:pt>
                <c:pt idx="89">
                  <c:v>Jul-2020</c:v>
                </c:pt>
                <c:pt idx="90">
                  <c:v>Aug-2020</c:v>
                </c:pt>
                <c:pt idx="91">
                  <c:v>Sep-2020</c:v>
                </c:pt>
                <c:pt idx="92">
                  <c:v>Oct-2020</c:v>
                </c:pt>
                <c:pt idx="93">
                  <c:v>Nov-2020</c:v>
                </c:pt>
                <c:pt idx="94">
                  <c:v>Dec-2020</c:v>
                </c:pt>
                <c:pt idx="95">
                  <c:v>Jan-2021</c:v>
                </c:pt>
                <c:pt idx="96">
                  <c:v>Feb-2021</c:v>
                </c:pt>
                <c:pt idx="97">
                  <c:v>Mar-2021</c:v>
                </c:pt>
                <c:pt idx="98">
                  <c:v>Apr-2021</c:v>
                </c:pt>
                <c:pt idx="99">
                  <c:v>May-2021</c:v>
                </c:pt>
                <c:pt idx="100">
                  <c:v>Jun-2021</c:v>
                </c:pt>
                <c:pt idx="101">
                  <c:v>Jul-2021</c:v>
                </c:pt>
                <c:pt idx="102">
                  <c:v>Aug-2021</c:v>
                </c:pt>
                <c:pt idx="103">
                  <c:v>Sep-2021</c:v>
                </c:pt>
                <c:pt idx="104">
                  <c:v>Oct-2021</c:v>
                </c:pt>
                <c:pt idx="105">
                  <c:v>Nov-2021</c:v>
                </c:pt>
                <c:pt idx="106">
                  <c:v>Dec-2021</c:v>
                </c:pt>
                <c:pt idx="107">
                  <c:v>Jan-2022</c:v>
                </c:pt>
                <c:pt idx="108">
                  <c:v>Feb-2022</c:v>
                </c:pt>
                <c:pt idx="109">
                  <c:v>Mar-2022</c:v>
                </c:pt>
                <c:pt idx="110">
                  <c:v>Apr-2022</c:v>
                </c:pt>
                <c:pt idx="111">
                  <c:v>May-2022</c:v>
                </c:pt>
                <c:pt idx="112">
                  <c:v>Jun-2022</c:v>
                </c:pt>
                <c:pt idx="113">
                  <c:v>Jul-2022</c:v>
                </c:pt>
                <c:pt idx="114">
                  <c:v>Aug-2022</c:v>
                </c:pt>
                <c:pt idx="115">
                  <c:v>Sep-2022</c:v>
                </c:pt>
                <c:pt idx="116">
                  <c:v>Oct-2022</c:v>
                </c:pt>
                <c:pt idx="117">
                  <c:v>Nov-2022</c:v>
                </c:pt>
                <c:pt idx="118">
                  <c:v>Dec-2022</c:v>
                </c:pt>
                <c:pt idx="119">
                  <c:v>Jan-2023</c:v>
                </c:pt>
                <c:pt idx="120">
                  <c:v>Feb-2023</c:v>
                </c:pt>
                <c:pt idx="121">
                  <c:v>Mar-2023</c:v>
                </c:pt>
                <c:pt idx="122">
                  <c:v>Apr-2023</c:v>
                </c:pt>
                <c:pt idx="123">
                  <c:v>May-2023</c:v>
                </c:pt>
              </c:strCache>
            </c:strRef>
          </c:cat>
          <c:val>
            <c:numRef>
              <c:f>Sheet7!$B$4:$B$127</c:f>
              <c:numCache>
                <c:formatCode>0.00</c:formatCode>
                <c:ptCount val="124"/>
                <c:pt idx="0">
                  <c:v>105.64166666666669</c:v>
                </c:pt>
                <c:pt idx="1">
                  <c:v>106.46666666666668</c:v>
                </c:pt>
                <c:pt idx="2">
                  <c:v>106.42500000000001</c:v>
                </c:pt>
                <c:pt idx="3">
                  <c:v>106.875</c:v>
                </c:pt>
                <c:pt idx="4">
                  <c:v>107.74999999999999</c:v>
                </c:pt>
                <c:pt idx="5">
                  <c:v>110.31666666666666</c:v>
                </c:pt>
                <c:pt idx="6">
                  <c:v>112.22499999999998</c:v>
                </c:pt>
                <c:pt idx="7">
                  <c:v>113.40000000000002</c:v>
                </c:pt>
                <c:pt idx="8">
                  <c:v>114.44999999999999</c:v>
                </c:pt>
                <c:pt idx="9">
                  <c:v>115.83333333333336</c:v>
                </c:pt>
                <c:pt idx="10">
                  <c:v>118.01666666666667</c:v>
                </c:pt>
                <c:pt idx="11">
                  <c:v>115.74166666666667</c:v>
                </c:pt>
                <c:pt idx="12">
                  <c:v>114.16666666666664</c:v>
                </c:pt>
                <c:pt idx="13">
                  <c:v>113.73333333333333</c:v>
                </c:pt>
                <c:pt idx="14">
                  <c:v>114.34999999999998</c:v>
                </c:pt>
                <c:pt idx="15">
                  <c:v>115.54166666666667</c:v>
                </c:pt>
                <c:pt idx="16">
                  <c:v>116.63333333333337</c:v>
                </c:pt>
                <c:pt idx="17">
                  <c:v>117.77500000000002</c:v>
                </c:pt>
                <c:pt idx="18">
                  <c:v>120.96666666666665</c:v>
                </c:pt>
                <c:pt idx="19">
                  <c:v>122.32499999999999</c:v>
                </c:pt>
                <c:pt idx="20">
                  <c:v>121.69166666666665</c:v>
                </c:pt>
                <c:pt idx="21">
                  <c:v>121.44166666666666</c:v>
                </c:pt>
                <c:pt idx="22">
                  <c:v>121.50833333333334</c:v>
                </c:pt>
                <c:pt idx="23">
                  <c:v>120.675</c:v>
                </c:pt>
                <c:pt idx="24">
                  <c:v>120.51666666666667</c:v>
                </c:pt>
                <c:pt idx="25">
                  <c:v>120.52499999999998</c:v>
                </c:pt>
                <c:pt idx="26">
                  <c:v>120.47499999999998</c:v>
                </c:pt>
                <c:pt idx="27">
                  <c:v>120.97500000000001</c:v>
                </c:pt>
                <c:pt idx="28">
                  <c:v>122.11666666666667</c:v>
                </c:pt>
                <c:pt idx="29">
                  <c:v>124.68333333333334</c:v>
                </c:pt>
                <c:pt idx="30">
                  <c:v>125.2</c:v>
                </c:pt>
                <c:pt idx="31">
                  <c:v>126.60833333333333</c:v>
                </c:pt>
                <c:pt idx="32">
                  <c:v>127.25833333333334</c:v>
                </c:pt>
                <c:pt idx="33">
                  <c:v>128.90833333333333</c:v>
                </c:pt>
                <c:pt idx="34">
                  <c:v>129.94999999999999</c:v>
                </c:pt>
                <c:pt idx="35">
                  <c:v>129.55833333333334</c:v>
                </c:pt>
                <c:pt idx="36">
                  <c:v>130.03333333333333</c:v>
                </c:pt>
                <c:pt idx="37">
                  <c:v>129.01666666666665</c:v>
                </c:pt>
                <c:pt idx="38">
                  <c:v>128.78333333333333</c:v>
                </c:pt>
                <c:pt idx="39">
                  <c:v>130.79166666666666</c:v>
                </c:pt>
                <c:pt idx="40">
                  <c:v>133.03333333333333</c:v>
                </c:pt>
                <c:pt idx="41">
                  <c:v>135.31666666666666</c:v>
                </c:pt>
                <c:pt idx="42">
                  <c:v>137.09166666666667</c:v>
                </c:pt>
                <c:pt idx="43">
                  <c:v>136.66666666666666</c:v>
                </c:pt>
                <c:pt idx="44">
                  <c:v>135.59166666666667</c:v>
                </c:pt>
                <c:pt idx="45">
                  <c:v>135.81666666666663</c:v>
                </c:pt>
                <c:pt idx="46">
                  <c:v>135.30833333333334</c:v>
                </c:pt>
                <c:pt idx="47">
                  <c:v>133.89166666666668</c:v>
                </c:pt>
                <c:pt idx="48">
                  <c:v>132.84999999999997</c:v>
                </c:pt>
                <c:pt idx="49">
                  <c:v>132.44166666666669</c:v>
                </c:pt>
                <c:pt idx="50">
                  <c:v>132.15</c:v>
                </c:pt>
                <c:pt idx="51">
                  <c:v>132.07500000000002</c:v>
                </c:pt>
                <c:pt idx="52">
                  <c:v>132.15833333333333</c:v>
                </c:pt>
                <c:pt idx="53">
                  <c:v>133.29166666666666</c:v>
                </c:pt>
                <c:pt idx="54">
                  <c:v>135.86666666666665</c:v>
                </c:pt>
                <c:pt idx="55">
                  <c:v>136.93333333333334</c:v>
                </c:pt>
                <c:pt idx="56">
                  <c:v>135.91666666666666</c:v>
                </c:pt>
                <c:pt idx="57">
                  <c:v>136.63333333333333</c:v>
                </c:pt>
                <c:pt idx="58">
                  <c:v>138.84166666666667</c:v>
                </c:pt>
                <c:pt idx="59">
                  <c:v>137.87499999999997</c:v>
                </c:pt>
                <c:pt idx="60">
                  <c:v>136.72499999999999</c:v>
                </c:pt>
                <c:pt idx="61">
                  <c:v>135.23333333333332</c:v>
                </c:pt>
                <c:pt idx="62">
                  <c:v>134.9</c:v>
                </c:pt>
                <c:pt idx="63">
                  <c:v>134.96666666666667</c:v>
                </c:pt>
                <c:pt idx="64">
                  <c:v>135.14166666666668</c:v>
                </c:pt>
                <c:pt idx="65">
                  <c:v>136.22499999999999</c:v>
                </c:pt>
                <c:pt idx="66">
                  <c:v>137.82499999999999</c:v>
                </c:pt>
                <c:pt idx="67">
                  <c:v>138.08333333333334</c:v>
                </c:pt>
                <c:pt idx="68">
                  <c:v>136.59166666666667</c:v>
                </c:pt>
                <c:pt idx="69">
                  <c:v>136.375</c:v>
                </c:pt>
                <c:pt idx="70">
                  <c:v>136.33333333333334</c:v>
                </c:pt>
                <c:pt idx="71">
                  <c:v>135.3833333333333</c:v>
                </c:pt>
                <c:pt idx="72">
                  <c:v>134.66666666666666</c:v>
                </c:pt>
                <c:pt idx="73">
                  <c:v>134.96666666666667</c:v>
                </c:pt>
                <c:pt idx="74">
                  <c:v>135.4</c:v>
                </c:pt>
                <c:pt idx="75">
                  <c:v>137.58333333333334</c:v>
                </c:pt>
                <c:pt idx="76">
                  <c:v>139.28333333333333</c:v>
                </c:pt>
                <c:pt idx="77">
                  <c:v>141.06666666666666</c:v>
                </c:pt>
                <c:pt idx="78">
                  <c:v>141.71666666666667</c:v>
                </c:pt>
                <c:pt idx="79">
                  <c:v>142.55833333333331</c:v>
                </c:pt>
                <c:pt idx="80">
                  <c:v>144.66666666666666</c:v>
                </c:pt>
                <c:pt idx="81">
                  <c:v>146.58333333333334</c:v>
                </c:pt>
                <c:pt idx="82">
                  <c:v>149.25833333333335</c:v>
                </c:pt>
                <c:pt idx="83">
                  <c:v>148.90833333333333</c:v>
                </c:pt>
                <c:pt idx="84">
                  <c:v>146.75833333333333</c:v>
                </c:pt>
                <c:pt idx="85">
                  <c:v>145.54166666666666</c:v>
                </c:pt>
                <c:pt idx="86">
                  <c:v>150.6</c:v>
                </c:pt>
                <c:pt idx="87">
                  <c:v>150.83333333333331</c:v>
                </c:pt>
                <c:pt idx="88">
                  <c:v>151.06666666666669</c:v>
                </c:pt>
                <c:pt idx="89">
                  <c:v>151.06666666666669</c:v>
                </c:pt>
                <c:pt idx="90">
                  <c:v>153.18333333333331</c:v>
                </c:pt>
                <c:pt idx="91">
                  <c:v>154.08333333333334</c:v>
                </c:pt>
                <c:pt idx="92">
                  <c:v>157.26666666666668</c:v>
                </c:pt>
                <c:pt idx="93">
                  <c:v>160.90833333333333</c:v>
                </c:pt>
                <c:pt idx="94">
                  <c:v>161.97499999999999</c:v>
                </c:pt>
                <c:pt idx="95">
                  <c:v>159.62499999999997</c:v>
                </c:pt>
                <c:pt idx="96">
                  <c:v>156.86666666666667</c:v>
                </c:pt>
                <c:pt idx="97">
                  <c:v>156.89166666666665</c:v>
                </c:pt>
                <c:pt idx="98">
                  <c:v>158.84166666666667</c:v>
                </c:pt>
                <c:pt idx="99">
                  <c:v>162.08333333333334</c:v>
                </c:pt>
                <c:pt idx="100">
                  <c:v>164.27500000000001</c:v>
                </c:pt>
                <c:pt idx="101">
                  <c:v>165.25000000000003</c:v>
                </c:pt>
                <c:pt idx="102">
                  <c:v>164.83333333333334</c:v>
                </c:pt>
                <c:pt idx="103">
                  <c:v>164.83333333333334</c:v>
                </c:pt>
                <c:pt idx="104">
                  <c:v>167.31666666666669</c:v>
                </c:pt>
                <c:pt idx="105">
                  <c:v>168.7</c:v>
                </c:pt>
                <c:pt idx="106">
                  <c:v>167.72499999999999</c:v>
                </c:pt>
                <c:pt idx="107">
                  <c:v>166.48333333333332</c:v>
                </c:pt>
                <c:pt idx="108">
                  <c:v>166.25000000000003</c:v>
                </c:pt>
                <c:pt idx="109">
                  <c:v>167.98333333333335</c:v>
                </c:pt>
                <c:pt idx="110">
                  <c:v>170.29166666666669</c:v>
                </c:pt>
                <c:pt idx="111">
                  <c:v>172.13333333333335</c:v>
                </c:pt>
                <c:pt idx="112">
                  <c:v>173.91666666666666</c:v>
                </c:pt>
                <c:pt idx="113">
                  <c:v>174.27500000000001</c:v>
                </c:pt>
                <c:pt idx="114">
                  <c:v>174.40833333333333</c:v>
                </c:pt>
                <c:pt idx="115">
                  <c:v>175.25833333333333</c:v>
                </c:pt>
                <c:pt idx="116">
                  <c:v>176.47500000000002</c:v>
                </c:pt>
                <c:pt idx="117">
                  <c:v>176.54166666666666</c:v>
                </c:pt>
                <c:pt idx="118">
                  <c:v>175.625</c:v>
                </c:pt>
                <c:pt idx="119">
                  <c:v>176.33333333333334</c:v>
                </c:pt>
                <c:pt idx="120">
                  <c:v>175.17499999999998</c:v>
                </c:pt>
                <c:pt idx="121">
                  <c:v>175.18333333333331</c:v>
                </c:pt>
                <c:pt idx="122">
                  <c:v>175.97500000000002</c:v>
                </c:pt>
                <c:pt idx="123">
                  <c:v>177.31666666666669</c:v>
                </c:pt>
              </c:numCache>
            </c:numRef>
          </c:val>
          <c:smooth val="0"/>
          <c:extLst>
            <c:ext xmlns:c16="http://schemas.microsoft.com/office/drawing/2014/chart" uri="{C3380CC4-5D6E-409C-BE32-E72D297353CC}">
              <c16:uniqueId val="{00000000-E7BA-449A-8397-37BB9081C16F}"/>
            </c:ext>
          </c:extLst>
        </c:ser>
        <c:ser>
          <c:idx val="1"/>
          <c:order val="1"/>
          <c:tx>
            <c:strRef>
              <c:f>Sheet7!$C$3</c:f>
              <c:strCache>
                <c:ptCount val="1"/>
                <c:pt idx="0">
                  <c:v>Average of Housing</c:v>
                </c:pt>
              </c:strCache>
            </c:strRef>
          </c:tx>
          <c:spPr>
            <a:ln w="28575" cap="rnd">
              <a:solidFill>
                <a:schemeClr val="accent2"/>
              </a:solidFill>
              <a:round/>
            </a:ln>
            <a:effectLst/>
          </c:spPr>
          <c:marker>
            <c:symbol val="none"/>
          </c:marker>
          <c:cat>
            <c:strRef>
              <c:f>Sheet7!$A$4:$A$127</c:f>
              <c:strCache>
                <c:ptCount val="124"/>
                <c:pt idx="0">
                  <c:v>Jan-2013</c:v>
                </c:pt>
                <c:pt idx="1">
                  <c:v>Feb-2013</c:v>
                </c:pt>
                <c:pt idx="2">
                  <c:v>Mar-2013</c:v>
                </c:pt>
                <c:pt idx="3">
                  <c:v>Apr-2013</c:v>
                </c:pt>
                <c:pt idx="4">
                  <c:v>May-2013</c:v>
                </c:pt>
                <c:pt idx="5">
                  <c:v>Jun-2013</c:v>
                </c:pt>
                <c:pt idx="6">
                  <c:v>Jul-2013</c:v>
                </c:pt>
                <c:pt idx="7">
                  <c:v>Aug-2013</c:v>
                </c:pt>
                <c:pt idx="8">
                  <c:v>Sep-2013</c:v>
                </c:pt>
                <c:pt idx="9">
                  <c:v>Oct-2013</c:v>
                </c:pt>
                <c:pt idx="10">
                  <c:v>Nov-2013</c:v>
                </c:pt>
                <c:pt idx="11">
                  <c:v>Dec-2013</c:v>
                </c:pt>
                <c:pt idx="12">
                  <c:v>Jan-2014</c:v>
                </c:pt>
                <c:pt idx="13">
                  <c:v>Feb-2014</c:v>
                </c:pt>
                <c:pt idx="14">
                  <c:v>Mar-2014</c:v>
                </c:pt>
                <c:pt idx="15">
                  <c:v>Apr-2014</c:v>
                </c:pt>
                <c:pt idx="16">
                  <c:v>May-2014</c:v>
                </c:pt>
                <c:pt idx="17">
                  <c:v>Jun-2014</c:v>
                </c:pt>
                <c:pt idx="18">
                  <c:v>Jul-2014</c:v>
                </c:pt>
                <c:pt idx="19">
                  <c:v>Aug-2014</c:v>
                </c:pt>
                <c:pt idx="20">
                  <c:v>Sep-2014</c:v>
                </c:pt>
                <c:pt idx="21">
                  <c:v>Oct-2014</c:v>
                </c:pt>
                <c:pt idx="22">
                  <c:v>Nov-2014</c:v>
                </c:pt>
                <c:pt idx="23">
                  <c:v>Dec-2014</c:v>
                </c:pt>
                <c:pt idx="24">
                  <c:v>Jan-2015</c:v>
                </c:pt>
                <c:pt idx="25">
                  <c:v>Feb-2015</c:v>
                </c:pt>
                <c:pt idx="26">
                  <c:v>Mar-2015</c:v>
                </c:pt>
                <c:pt idx="27">
                  <c:v>Apr-2015</c:v>
                </c:pt>
                <c:pt idx="28">
                  <c:v>May-2015</c:v>
                </c:pt>
                <c:pt idx="29">
                  <c:v>Jun-2015</c:v>
                </c:pt>
                <c:pt idx="30">
                  <c:v>Jul-2015</c:v>
                </c:pt>
                <c:pt idx="31">
                  <c:v>Aug-2015</c:v>
                </c:pt>
                <c:pt idx="32">
                  <c:v>Sep-2015</c:v>
                </c:pt>
                <c:pt idx="33">
                  <c:v>Oct-2015</c:v>
                </c:pt>
                <c:pt idx="34">
                  <c:v>Nov-2015</c:v>
                </c:pt>
                <c:pt idx="35">
                  <c:v>Dec-2015</c:v>
                </c:pt>
                <c:pt idx="36">
                  <c:v>Jan-2016</c:v>
                </c:pt>
                <c:pt idx="37">
                  <c:v>Feb-2016</c:v>
                </c:pt>
                <c:pt idx="38">
                  <c:v>Mar-2016</c:v>
                </c:pt>
                <c:pt idx="39">
                  <c:v>Apr-2016</c:v>
                </c:pt>
                <c:pt idx="40">
                  <c:v>May-2016</c:v>
                </c:pt>
                <c:pt idx="41">
                  <c:v>Jun-2016</c:v>
                </c:pt>
                <c:pt idx="42">
                  <c:v>Jul-2016</c:v>
                </c:pt>
                <c:pt idx="43">
                  <c:v>Aug-2016</c:v>
                </c:pt>
                <c:pt idx="44">
                  <c:v>Sep-2016</c:v>
                </c:pt>
                <c:pt idx="45">
                  <c:v>Oct-2016</c:v>
                </c:pt>
                <c:pt idx="46">
                  <c:v>Nov-2016</c:v>
                </c:pt>
                <c:pt idx="47">
                  <c:v>Dec-2016</c:v>
                </c:pt>
                <c:pt idx="48">
                  <c:v>Jan-2017</c:v>
                </c:pt>
                <c:pt idx="49">
                  <c:v>Feb-2017</c:v>
                </c:pt>
                <c:pt idx="50">
                  <c:v>Mar-2017</c:v>
                </c:pt>
                <c:pt idx="51">
                  <c:v>Apr-2017</c:v>
                </c:pt>
                <c:pt idx="52">
                  <c:v>May-2017</c:v>
                </c:pt>
                <c:pt idx="53">
                  <c:v>Jun-2017</c:v>
                </c:pt>
                <c:pt idx="54">
                  <c:v>Jul-2017</c:v>
                </c:pt>
                <c:pt idx="55">
                  <c:v>Aug-2017</c:v>
                </c:pt>
                <c:pt idx="56">
                  <c:v>Sep-2017</c:v>
                </c:pt>
                <c:pt idx="57">
                  <c:v>Oct-2017</c:v>
                </c:pt>
                <c:pt idx="58">
                  <c:v>Nov-2017</c:v>
                </c:pt>
                <c:pt idx="59">
                  <c:v>Dec-2017</c:v>
                </c:pt>
                <c:pt idx="60">
                  <c:v>Jan-2018</c:v>
                </c:pt>
                <c:pt idx="61">
                  <c:v>Feb-2018</c:v>
                </c:pt>
                <c:pt idx="62">
                  <c:v>Mar-2018</c:v>
                </c:pt>
                <c:pt idx="63">
                  <c:v>Apr-2018</c:v>
                </c:pt>
                <c:pt idx="64">
                  <c:v>May-2018</c:v>
                </c:pt>
                <c:pt idx="65">
                  <c:v>Jun-2018</c:v>
                </c:pt>
                <c:pt idx="66">
                  <c:v>Jul-2018</c:v>
                </c:pt>
                <c:pt idx="67">
                  <c:v>Aug-2018</c:v>
                </c:pt>
                <c:pt idx="68">
                  <c:v>Sep-2018</c:v>
                </c:pt>
                <c:pt idx="69">
                  <c:v>Oct-2018</c:v>
                </c:pt>
                <c:pt idx="70">
                  <c:v>Nov-2018</c:v>
                </c:pt>
                <c:pt idx="71">
                  <c:v>Dec-2018</c:v>
                </c:pt>
                <c:pt idx="72">
                  <c:v>Jan-2019</c:v>
                </c:pt>
                <c:pt idx="73">
                  <c:v>Feb-2019</c:v>
                </c:pt>
                <c:pt idx="74">
                  <c:v>Mar-2019</c:v>
                </c:pt>
                <c:pt idx="75">
                  <c:v>May-2019</c:v>
                </c:pt>
                <c:pt idx="76">
                  <c:v>Jun-2019</c:v>
                </c:pt>
                <c:pt idx="77">
                  <c:v>Jul-2019</c:v>
                </c:pt>
                <c:pt idx="78">
                  <c:v>Aug-2019</c:v>
                </c:pt>
                <c:pt idx="79">
                  <c:v>Sep-2019</c:v>
                </c:pt>
                <c:pt idx="80">
                  <c:v>Oct-2019</c:v>
                </c:pt>
                <c:pt idx="81">
                  <c:v>Nov-2019</c:v>
                </c:pt>
                <c:pt idx="82">
                  <c:v>Dec-2019</c:v>
                </c:pt>
                <c:pt idx="83">
                  <c:v>Jan-2020</c:v>
                </c:pt>
                <c:pt idx="84">
                  <c:v>Feb-2020</c:v>
                </c:pt>
                <c:pt idx="85">
                  <c:v>Mar-2020</c:v>
                </c:pt>
                <c:pt idx="86">
                  <c:v>Apr-2020</c:v>
                </c:pt>
                <c:pt idx="87">
                  <c:v>May-2020</c:v>
                </c:pt>
                <c:pt idx="88">
                  <c:v>Jun-2020</c:v>
                </c:pt>
                <c:pt idx="89">
                  <c:v>Jul-2020</c:v>
                </c:pt>
                <c:pt idx="90">
                  <c:v>Aug-2020</c:v>
                </c:pt>
                <c:pt idx="91">
                  <c:v>Sep-2020</c:v>
                </c:pt>
                <c:pt idx="92">
                  <c:v>Oct-2020</c:v>
                </c:pt>
                <c:pt idx="93">
                  <c:v>Nov-2020</c:v>
                </c:pt>
                <c:pt idx="94">
                  <c:v>Dec-2020</c:v>
                </c:pt>
                <c:pt idx="95">
                  <c:v>Jan-2021</c:v>
                </c:pt>
                <c:pt idx="96">
                  <c:v>Feb-2021</c:v>
                </c:pt>
                <c:pt idx="97">
                  <c:v>Mar-2021</c:v>
                </c:pt>
                <c:pt idx="98">
                  <c:v>Apr-2021</c:v>
                </c:pt>
                <c:pt idx="99">
                  <c:v>May-2021</c:v>
                </c:pt>
                <c:pt idx="100">
                  <c:v>Jun-2021</c:v>
                </c:pt>
                <c:pt idx="101">
                  <c:v>Jul-2021</c:v>
                </c:pt>
                <c:pt idx="102">
                  <c:v>Aug-2021</c:v>
                </c:pt>
                <c:pt idx="103">
                  <c:v>Sep-2021</c:v>
                </c:pt>
                <c:pt idx="104">
                  <c:v>Oct-2021</c:v>
                </c:pt>
                <c:pt idx="105">
                  <c:v>Nov-2021</c:v>
                </c:pt>
                <c:pt idx="106">
                  <c:v>Dec-2021</c:v>
                </c:pt>
                <c:pt idx="107">
                  <c:v>Jan-2022</c:v>
                </c:pt>
                <c:pt idx="108">
                  <c:v>Feb-2022</c:v>
                </c:pt>
                <c:pt idx="109">
                  <c:v>Mar-2022</c:v>
                </c:pt>
                <c:pt idx="110">
                  <c:v>Apr-2022</c:v>
                </c:pt>
                <c:pt idx="111">
                  <c:v>May-2022</c:v>
                </c:pt>
                <c:pt idx="112">
                  <c:v>Jun-2022</c:v>
                </c:pt>
                <c:pt idx="113">
                  <c:v>Jul-2022</c:v>
                </c:pt>
                <c:pt idx="114">
                  <c:v>Aug-2022</c:v>
                </c:pt>
                <c:pt idx="115">
                  <c:v>Sep-2022</c:v>
                </c:pt>
                <c:pt idx="116">
                  <c:v>Oct-2022</c:v>
                </c:pt>
                <c:pt idx="117">
                  <c:v>Nov-2022</c:v>
                </c:pt>
                <c:pt idx="118">
                  <c:v>Dec-2022</c:v>
                </c:pt>
                <c:pt idx="119">
                  <c:v>Jan-2023</c:v>
                </c:pt>
                <c:pt idx="120">
                  <c:v>Feb-2023</c:v>
                </c:pt>
                <c:pt idx="121">
                  <c:v>Mar-2023</c:v>
                </c:pt>
                <c:pt idx="122">
                  <c:v>Apr-2023</c:v>
                </c:pt>
                <c:pt idx="123">
                  <c:v>May-2023</c:v>
                </c:pt>
              </c:strCache>
            </c:strRef>
          </c:cat>
          <c:val>
            <c:numRef>
              <c:f>Sheet7!$C$4:$C$127</c:f>
              <c:numCache>
                <c:formatCode>0.00</c:formatCode>
                <c:ptCount val="124"/>
                <c:pt idx="0">
                  <c:v>100.3</c:v>
                </c:pt>
                <c:pt idx="1">
                  <c:v>100.4</c:v>
                </c:pt>
                <c:pt idx="2">
                  <c:v>100.4</c:v>
                </c:pt>
                <c:pt idx="3">
                  <c:v>100.5</c:v>
                </c:pt>
                <c:pt idx="4">
                  <c:v>100.5</c:v>
                </c:pt>
                <c:pt idx="5">
                  <c:v>106.6</c:v>
                </c:pt>
                <c:pt idx="6">
                  <c:v>107.7</c:v>
                </c:pt>
                <c:pt idx="7">
                  <c:v>108.9</c:v>
                </c:pt>
                <c:pt idx="8">
                  <c:v>109.7</c:v>
                </c:pt>
                <c:pt idx="9">
                  <c:v>110.5</c:v>
                </c:pt>
                <c:pt idx="10">
                  <c:v>111.1</c:v>
                </c:pt>
                <c:pt idx="11">
                  <c:v>110.7</c:v>
                </c:pt>
                <c:pt idx="12">
                  <c:v>111.6</c:v>
                </c:pt>
                <c:pt idx="13">
                  <c:v>112.5</c:v>
                </c:pt>
                <c:pt idx="14">
                  <c:v>113.2</c:v>
                </c:pt>
                <c:pt idx="15">
                  <c:v>113.9</c:v>
                </c:pt>
                <c:pt idx="16">
                  <c:v>114.3</c:v>
                </c:pt>
                <c:pt idx="17">
                  <c:v>113.9</c:v>
                </c:pt>
                <c:pt idx="18">
                  <c:v>114.8</c:v>
                </c:pt>
                <c:pt idx="19">
                  <c:v>115.5</c:v>
                </c:pt>
                <c:pt idx="20">
                  <c:v>116.1</c:v>
                </c:pt>
                <c:pt idx="21">
                  <c:v>116.7</c:v>
                </c:pt>
                <c:pt idx="22">
                  <c:v>117.1</c:v>
                </c:pt>
                <c:pt idx="23">
                  <c:v>116.5</c:v>
                </c:pt>
                <c:pt idx="24">
                  <c:v>117.3</c:v>
                </c:pt>
                <c:pt idx="25">
                  <c:v>118.1</c:v>
                </c:pt>
                <c:pt idx="26">
                  <c:v>118.6</c:v>
                </c:pt>
                <c:pt idx="27">
                  <c:v>119.2</c:v>
                </c:pt>
                <c:pt idx="28">
                  <c:v>119.6</c:v>
                </c:pt>
                <c:pt idx="29">
                  <c:v>119</c:v>
                </c:pt>
                <c:pt idx="30">
                  <c:v>119.9</c:v>
                </c:pt>
                <c:pt idx="31">
                  <c:v>120.9</c:v>
                </c:pt>
                <c:pt idx="32">
                  <c:v>121.6</c:v>
                </c:pt>
                <c:pt idx="33">
                  <c:v>122.4</c:v>
                </c:pt>
                <c:pt idx="34">
                  <c:v>122.9</c:v>
                </c:pt>
                <c:pt idx="35">
                  <c:v>122.4</c:v>
                </c:pt>
                <c:pt idx="36">
                  <c:v>123.4</c:v>
                </c:pt>
                <c:pt idx="37">
                  <c:v>124.4</c:v>
                </c:pt>
                <c:pt idx="38">
                  <c:v>124.9</c:v>
                </c:pt>
                <c:pt idx="39">
                  <c:v>125.6</c:v>
                </c:pt>
                <c:pt idx="40">
                  <c:v>126</c:v>
                </c:pt>
                <c:pt idx="41">
                  <c:v>125.5</c:v>
                </c:pt>
                <c:pt idx="42">
                  <c:v>126.4</c:v>
                </c:pt>
                <c:pt idx="43">
                  <c:v>127.3</c:v>
                </c:pt>
                <c:pt idx="44">
                  <c:v>127.9</c:v>
                </c:pt>
                <c:pt idx="45">
                  <c:v>128.69999999999999</c:v>
                </c:pt>
                <c:pt idx="46">
                  <c:v>129.1</c:v>
                </c:pt>
                <c:pt idx="47">
                  <c:v>128.5</c:v>
                </c:pt>
                <c:pt idx="48">
                  <c:v>129.6</c:v>
                </c:pt>
                <c:pt idx="49">
                  <c:v>130.5</c:v>
                </c:pt>
                <c:pt idx="50">
                  <c:v>131.1</c:v>
                </c:pt>
                <c:pt idx="51">
                  <c:v>131.69999999999999</c:v>
                </c:pt>
                <c:pt idx="52">
                  <c:v>132.1</c:v>
                </c:pt>
                <c:pt idx="53">
                  <c:v>131.4</c:v>
                </c:pt>
                <c:pt idx="54">
                  <c:v>132.6</c:v>
                </c:pt>
                <c:pt idx="55">
                  <c:v>134.4</c:v>
                </c:pt>
                <c:pt idx="56">
                  <c:v>135.69999999999999</c:v>
                </c:pt>
                <c:pt idx="57">
                  <c:v>137.30000000000001</c:v>
                </c:pt>
                <c:pt idx="58">
                  <c:v>138.6</c:v>
                </c:pt>
                <c:pt idx="59">
                  <c:v>139.1</c:v>
                </c:pt>
                <c:pt idx="60">
                  <c:v>140.4</c:v>
                </c:pt>
                <c:pt idx="61">
                  <c:v>141.30000000000001</c:v>
                </c:pt>
                <c:pt idx="62">
                  <c:v>142</c:v>
                </c:pt>
                <c:pt idx="63">
                  <c:v>142.9</c:v>
                </c:pt>
                <c:pt idx="64">
                  <c:v>143.19999999999999</c:v>
                </c:pt>
                <c:pt idx="65">
                  <c:v>142.5</c:v>
                </c:pt>
                <c:pt idx="66">
                  <c:v>143.6</c:v>
                </c:pt>
                <c:pt idx="67">
                  <c:v>144.6</c:v>
                </c:pt>
                <c:pt idx="68">
                  <c:v>145.30000000000001</c:v>
                </c:pt>
                <c:pt idx="69">
                  <c:v>146.9</c:v>
                </c:pt>
                <c:pt idx="70">
                  <c:v>146.9</c:v>
                </c:pt>
                <c:pt idx="71">
                  <c:v>146.5</c:v>
                </c:pt>
                <c:pt idx="72">
                  <c:v>147.69999999999999</c:v>
                </c:pt>
                <c:pt idx="73">
                  <c:v>148.5</c:v>
                </c:pt>
                <c:pt idx="74">
                  <c:v>149</c:v>
                </c:pt>
                <c:pt idx="75">
                  <c:v>150.1</c:v>
                </c:pt>
                <c:pt idx="76">
                  <c:v>149.4</c:v>
                </c:pt>
                <c:pt idx="77">
                  <c:v>150.6</c:v>
                </c:pt>
                <c:pt idx="78">
                  <c:v>151.6</c:v>
                </c:pt>
                <c:pt idx="79">
                  <c:v>152.19999999999999</c:v>
                </c:pt>
                <c:pt idx="80">
                  <c:v>153</c:v>
                </c:pt>
                <c:pt idx="81">
                  <c:v>153.5</c:v>
                </c:pt>
                <c:pt idx="82">
                  <c:v>152.80000000000001</c:v>
                </c:pt>
                <c:pt idx="83">
                  <c:v>153.9</c:v>
                </c:pt>
                <c:pt idx="84">
                  <c:v>154.80000000000001</c:v>
                </c:pt>
                <c:pt idx="85">
                  <c:v>154.5</c:v>
                </c:pt>
                <c:pt idx="86">
                  <c:v>155.6</c:v>
                </c:pt>
                <c:pt idx="87">
                  <c:v>155.15</c:v>
                </c:pt>
                <c:pt idx="88">
                  <c:v>154.69999999999999</c:v>
                </c:pt>
                <c:pt idx="89">
                  <c:v>154.69999999999999</c:v>
                </c:pt>
                <c:pt idx="90">
                  <c:v>155.5</c:v>
                </c:pt>
                <c:pt idx="91">
                  <c:v>156.30000000000001</c:v>
                </c:pt>
                <c:pt idx="92">
                  <c:v>156.5</c:v>
                </c:pt>
                <c:pt idx="93">
                  <c:v>158</c:v>
                </c:pt>
                <c:pt idx="94">
                  <c:v>158.4</c:v>
                </c:pt>
                <c:pt idx="95">
                  <c:v>157.69999999999999</c:v>
                </c:pt>
                <c:pt idx="96">
                  <c:v>159.80000000000001</c:v>
                </c:pt>
                <c:pt idx="97">
                  <c:v>159.9</c:v>
                </c:pt>
                <c:pt idx="98">
                  <c:v>161.4</c:v>
                </c:pt>
                <c:pt idx="99">
                  <c:v>161.6</c:v>
                </c:pt>
                <c:pt idx="100">
                  <c:v>160.5</c:v>
                </c:pt>
                <c:pt idx="101">
                  <c:v>161.5</c:v>
                </c:pt>
                <c:pt idx="102">
                  <c:v>162.1</c:v>
                </c:pt>
                <c:pt idx="103">
                  <c:v>162.1</c:v>
                </c:pt>
                <c:pt idx="104">
                  <c:v>163.6</c:v>
                </c:pt>
                <c:pt idx="105">
                  <c:v>164.2</c:v>
                </c:pt>
                <c:pt idx="106">
                  <c:v>163.4</c:v>
                </c:pt>
                <c:pt idx="107">
                  <c:v>164.5</c:v>
                </c:pt>
                <c:pt idx="108">
                  <c:v>165.5</c:v>
                </c:pt>
                <c:pt idx="109">
                  <c:v>165.3</c:v>
                </c:pt>
                <c:pt idx="110">
                  <c:v>167</c:v>
                </c:pt>
                <c:pt idx="111">
                  <c:v>167.5</c:v>
                </c:pt>
                <c:pt idx="112">
                  <c:v>166.8</c:v>
                </c:pt>
                <c:pt idx="113">
                  <c:v>167.8</c:v>
                </c:pt>
                <c:pt idx="114">
                  <c:v>169</c:v>
                </c:pt>
                <c:pt idx="115">
                  <c:v>169.5</c:v>
                </c:pt>
                <c:pt idx="116">
                  <c:v>171.2</c:v>
                </c:pt>
                <c:pt idx="117">
                  <c:v>171.8</c:v>
                </c:pt>
                <c:pt idx="118">
                  <c:v>170.7</c:v>
                </c:pt>
                <c:pt idx="119">
                  <c:v>172.1</c:v>
                </c:pt>
                <c:pt idx="120">
                  <c:v>173.5</c:v>
                </c:pt>
                <c:pt idx="121">
                  <c:v>173.5</c:v>
                </c:pt>
                <c:pt idx="122">
                  <c:v>175.2</c:v>
                </c:pt>
                <c:pt idx="123">
                  <c:v>175.6</c:v>
                </c:pt>
              </c:numCache>
            </c:numRef>
          </c:val>
          <c:smooth val="0"/>
          <c:extLst>
            <c:ext xmlns:c16="http://schemas.microsoft.com/office/drawing/2014/chart" uri="{C3380CC4-5D6E-409C-BE32-E72D297353CC}">
              <c16:uniqueId val="{00000001-E7BA-449A-8397-37BB9081C16F}"/>
            </c:ext>
          </c:extLst>
        </c:ser>
        <c:ser>
          <c:idx val="2"/>
          <c:order val="2"/>
          <c:tx>
            <c:strRef>
              <c:f>Sheet7!$D$3</c:f>
              <c:strCache>
                <c:ptCount val="1"/>
                <c:pt idx="0">
                  <c:v>Average of Fuel &amp; Energy</c:v>
                </c:pt>
              </c:strCache>
            </c:strRef>
          </c:tx>
          <c:spPr>
            <a:ln w="28575" cap="rnd">
              <a:solidFill>
                <a:schemeClr val="accent3"/>
              </a:solidFill>
              <a:round/>
            </a:ln>
            <a:effectLst/>
          </c:spPr>
          <c:marker>
            <c:symbol val="none"/>
          </c:marker>
          <c:cat>
            <c:strRef>
              <c:f>Sheet7!$A$4:$A$127</c:f>
              <c:strCache>
                <c:ptCount val="124"/>
                <c:pt idx="0">
                  <c:v>Jan-2013</c:v>
                </c:pt>
                <c:pt idx="1">
                  <c:v>Feb-2013</c:v>
                </c:pt>
                <c:pt idx="2">
                  <c:v>Mar-2013</c:v>
                </c:pt>
                <c:pt idx="3">
                  <c:v>Apr-2013</c:v>
                </c:pt>
                <c:pt idx="4">
                  <c:v>May-2013</c:v>
                </c:pt>
                <c:pt idx="5">
                  <c:v>Jun-2013</c:v>
                </c:pt>
                <c:pt idx="6">
                  <c:v>Jul-2013</c:v>
                </c:pt>
                <c:pt idx="7">
                  <c:v>Aug-2013</c:v>
                </c:pt>
                <c:pt idx="8">
                  <c:v>Sep-2013</c:v>
                </c:pt>
                <c:pt idx="9">
                  <c:v>Oct-2013</c:v>
                </c:pt>
                <c:pt idx="10">
                  <c:v>Nov-2013</c:v>
                </c:pt>
                <c:pt idx="11">
                  <c:v>Dec-2013</c:v>
                </c:pt>
                <c:pt idx="12">
                  <c:v>Jan-2014</c:v>
                </c:pt>
                <c:pt idx="13">
                  <c:v>Feb-2014</c:v>
                </c:pt>
                <c:pt idx="14">
                  <c:v>Mar-2014</c:v>
                </c:pt>
                <c:pt idx="15">
                  <c:v>Apr-2014</c:v>
                </c:pt>
                <c:pt idx="16">
                  <c:v>May-2014</c:v>
                </c:pt>
                <c:pt idx="17">
                  <c:v>Jun-2014</c:v>
                </c:pt>
                <c:pt idx="18">
                  <c:v>Jul-2014</c:v>
                </c:pt>
                <c:pt idx="19">
                  <c:v>Aug-2014</c:v>
                </c:pt>
                <c:pt idx="20">
                  <c:v>Sep-2014</c:v>
                </c:pt>
                <c:pt idx="21">
                  <c:v>Oct-2014</c:v>
                </c:pt>
                <c:pt idx="22">
                  <c:v>Nov-2014</c:v>
                </c:pt>
                <c:pt idx="23">
                  <c:v>Dec-2014</c:v>
                </c:pt>
                <c:pt idx="24">
                  <c:v>Jan-2015</c:v>
                </c:pt>
                <c:pt idx="25">
                  <c:v>Feb-2015</c:v>
                </c:pt>
                <c:pt idx="26">
                  <c:v>Mar-2015</c:v>
                </c:pt>
                <c:pt idx="27">
                  <c:v>Apr-2015</c:v>
                </c:pt>
                <c:pt idx="28">
                  <c:v>May-2015</c:v>
                </c:pt>
                <c:pt idx="29">
                  <c:v>Jun-2015</c:v>
                </c:pt>
                <c:pt idx="30">
                  <c:v>Jul-2015</c:v>
                </c:pt>
                <c:pt idx="31">
                  <c:v>Aug-2015</c:v>
                </c:pt>
                <c:pt idx="32">
                  <c:v>Sep-2015</c:v>
                </c:pt>
                <c:pt idx="33">
                  <c:v>Oct-2015</c:v>
                </c:pt>
                <c:pt idx="34">
                  <c:v>Nov-2015</c:v>
                </c:pt>
                <c:pt idx="35">
                  <c:v>Dec-2015</c:v>
                </c:pt>
                <c:pt idx="36">
                  <c:v>Jan-2016</c:v>
                </c:pt>
                <c:pt idx="37">
                  <c:v>Feb-2016</c:v>
                </c:pt>
                <c:pt idx="38">
                  <c:v>Mar-2016</c:v>
                </c:pt>
                <c:pt idx="39">
                  <c:v>Apr-2016</c:v>
                </c:pt>
                <c:pt idx="40">
                  <c:v>May-2016</c:v>
                </c:pt>
                <c:pt idx="41">
                  <c:v>Jun-2016</c:v>
                </c:pt>
                <c:pt idx="42">
                  <c:v>Jul-2016</c:v>
                </c:pt>
                <c:pt idx="43">
                  <c:v>Aug-2016</c:v>
                </c:pt>
                <c:pt idx="44">
                  <c:v>Sep-2016</c:v>
                </c:pt>
                <c:pt idx="45">
                  <c:v>Oct-2016</c:v>
                </c:pt>
                <c:pt idx="46">
                  <c:v>Nov-2016</c:v>
                </c:pt>
                <c:pt idx="47">
                  <c:v>Dec-2016</c:v>
                </c:pt>
                <c:pt idx="48">
                  <c:v>Jan-2017</c:v>
                </c:pt>
                <c:pt idx="49">
                  <c:v>Feb-2017</c:v>
                </c:pt>
                <c:pt idx="50">
                  <c:v>Mar-2017</c:v>
                </c:pt>
                <c:pt idx="51">
                  <c:v>Apr-2017</c:v>
                </c:pt>
                <c:pt idx="52">
                  <c:v>May-2017</c:v>
                </c:pt>
                <c:pt idx="53">
                  <c:v>Jun-2017</c:v>
                </c:pt>
                <c:pt idx="54">
                  <c:v>Jul-2017</c:v>
                </c:pt>
                <c:pt idx="55">
                  <c:v>Aug-2017</c:v>
                </c:pt>
                <c:pt idx="56">
                  <c:v>Sep-2017</c:v>
                </c:pt>
                <c:pt idx="57">
                  <c:v>Oct-2017</c:v>
                </c:pt>
                <c:pt idx="58">
                  <c:v>Nov-2017</c:v>
                </c:pt>
                <c:pt idx="59">
                  <c:v>Dec-2017</c:v>
                </c:pt>
                <c:pt idx="60">
                  <c:v>Jan-2018</c:v>
                </c:pt>
                <c:pt idx="61">
                  <c:v>Feb-2018</c:v>
                </c:pt>
                <c:pt idx="62">
                  <c:v>Mar-2018</c:v>
                </c:pt>
                <c:pt idx="63">
                  <c:v>Apr-2018</c:v>
                </c:pt>
                <c:pt idx="64">
                  <c:v>May-2018</c:v>
                </c:pt>
                <c:pt idx="65">
                  <c:v>Jun-2018</c:v>
                </c:pt>
                <c:pt idx="66">
                  <c:v>Jul-2018</c:v>
                </c:pt>
                <c:pt idx="67">
                  <c:v>Aug-2018</c:v>
                </c:pt>
                <c:pt idx="68">
                  <c:v>Sep-2018</c:v>
                </c:pt>
                <c:pt idx="69">
                  <c:v>Oct-2018</c:v>
                </c:pt>
                <c:pt idx="70">
                  <c:v>Nov-2018</c:v>
                </c:pt>
                <c:pt idx="71">
                  <c:v>Dec-2018</c:v>
                </c:pt>
                <c:pt idx="72">
                  <c:v>Jan-2019</c:v>
                </c:pt>
                <c:pt idx="73">
                  <c:v>Feb-2019</c:v>
                </c:pt>
                <c:pt idx="74">
                  <c:v>Mar-2019</c:v>
                </c:pt>
                <c:pt idx="75">
                  <c:v>May-2019</c:v>
                </c:pt>
                <c:pt idx="76">
                  <c:v>Jun-2019</c:v>
                </c:pt>
                <c:pt idx="77">
                  <c:v>Jul-2019</c:v>
                </c:pt>
                <c:pt idx="78">
                  <c:v>Aug-2019</c:v>
                </c:pt>
                <c:pt idx="79">
                  <c:v>Sep-2019</c:v>
                </c:pt>
                <c:pt idx="80">
                  <c:v>Oct-2019</c:v>
                </c:pt>
                <c:pt idx="81">
                  <c:v>Nov-2019</c:v>
                </c:pt>
                <c:pt idx="82">
                  <c:v>Dec-2019</c:v>
                </c:pt>
                <c:pt idx="83">
                  <c:v>Jan-2020</c:v>
                </c:pt>
                <c:pt idx="84">
                  <c:v>Feb-2020</c:v>
                </c:pt>
                <c:pt idx="85">
                  <c:v>Mar-2020</c:v>
                </c:pt>
                <c:pt idx="86">
                  <c:v>Apr-2020</c:v>
                </c:pt>
                <c:pt idx="87">
                  <c:v>May-2020</c:v>
                </c:pt>
                <c:pt idx="88">
                  <c:v>Jun-2020</c:v>
                </c:pt>
                <c:pt idx="89">
                  <c:v>Jul-2020</c:v>
                </c:pt>
                <c:pt idx="90">
                  <c:v>Aug-2020</c:v>
                </c:pt>
                <c:pt idx="91">
                  <c:v>Sep-2020</c:v>
                </c:pt>
                <c:pt idx="92">
                  <c:v>Oct-2020</c:v>
                </c:pt>
                <c:pt idx="93">
                  <c:v>Nov-2020</c:v>
                </c:pt>
                <c:pt idx="94">
                  <c:v>Dec-2020</c:v>
                </c:pt>
                <c:pt idx="95">
                  <c:v>Jan-2021</c:v>
                </c:pt>
                <c:pt idx="96">
                  <c:v>Feb-2021</c:v>
                </c:pt>
                <c:pt idx="97">
                  <c:v>Mar-2021</c:v>
                </c:pt>
                <c:pt idx="98">
                  <c:v>Apr-2021</c:v>
                </c:pt>
                <c:pt idx="99">
                  <c:v>May-2021</c:v>
                </c:pt>
                <c:pt idx="100">
                  <c:v>Jun-2021</c:v>
                </c:pt>
                <c:pt idx="101">
                  <c:v>Jul-2021</c:v>
                </c:pt>
                <c:pt idx="102">
                  <c:v>Aug-2021</c:v>
                </c:pt>
                <c:pt idx="103">
                  <c:v>Sep-2021</c:v>
                </c:pt>
                <c:pt idx="104">
                  <c:v>Oct-2021</c:v>
                </c:pt>
                <c:pt idx="105">
                  <c:v>Nov-2021</c:v>
                </c:pt>
                <c:pt idx="106">
                  <c:v>Dec-2021</c:v>
                </c:pt>
                <c:pt idx="107">
                  <c:v>Jan-2022</c:v>
                </c:pt>
                <c:pt idx="108">
                  <c:v>Feb-2022</c:v>
                </c:pt>
                <c:pt idx="109">
                  <c:v>Mar-2022</c:v>
                </c:pt>
                <c:pt idx="110">
                  <c:v>Apr-2022</c:v>
                </c:pt>
                <c:pt idx="111">
                  <c:v>May-2022</c:v>
                </c:pt>
                <c:pt idx="112">
                  <c:v>Jun-2022</c:v>
                </c:pt>
                <c:pt idx="113">
                  <c:v>Jul-2022</c:v>
                </c:pt>
                <c:pt idx="114">
                  <c:v>Aug-2022</c:v>
                </c:pt>
                <c:pt idx="115">
                  <c:v>Sep-2022</c:v>
                </c:pt>
                <c:pt idx="116">
                  <c:v>Oct-2022</c:v>
                </c:pt>
                <c:pt idx="117">
                  <c:v>Nov-2022</c:v>
                </c:pt>
                <c:pt idx="118">
                  <c:v>Dec-2022</c:v>
                </c:pt>
                <c:pt idx="119">
                  <c:v>Jan-2023</c:v>
                </c:pt>
                <c:pt idx="120">
                  <c:v>Feb-2023</c:v>
                </c:pt>
                <c:pt idx="121">
                  <c:v>Mar-2023</c:v>
                </c:pt>
                <c:pt idx="122">
                  <c:v>Apr-2023</c:v>
                </c:pt>
                <c:pt idx="123">
                  <c:v>May-2023</c:v>
                </c:pt>
              </c:strCache>
            </c:strRef>
          </c:cat>
          <c:val>
            <c:numRef>
              <c:f>Sheet7!$D$4:$D$127</c:f>
              <c:numCache>
                <c:formatCode>0.00</c:formatCode>
                <c:ptCount val="124"/>
                <c:pt idx="0">
                  <c:v>105.5</c:v>
                </c:pt>
                <c:pt idx="1">
                  <c:v>106</c:v>
                </c:pt>
                <c:pt idx="2">
                  <c:v>106.1</c:v>
                </c:pt>
                <c:pt idx="3">
                  <c:v>106.5</c:v>
                </c:pt>
                <c:pt idx="4">
                  <c:v>107.4</c:v>
                </c:pt>
                <c:pt idx="5">
                  <c:v>108.3</c:v>
                </c:pt>
                <c:pt idx="6">
                  <c:v>109.2</c:v>
                </c:pt>
                <c:pt idx="7">
                  <c:v>109.7</c:v>
                </c:pt>
                <c:pt idx="8">
                  <c:v>110.5</c:v>
                </c:pt>
                <c:pt idx="9">
                  <c:v>110.9</c:v>
                </c:pt>
                <c:pt idx="10">
                  <c:v>111.6</c:v>
                </c:pt>
                <c:pt idx="11">
                  <c:v>111.9</c:v>
                </c:pt>
                <c:pt idx="12">
                  <c:v>112.2</c:v>
                </c:pt>
                <c:pt idx="13">
                  <c:v>112.4</c:v>
                </c:pt>
                <c:pt idx="14">
                  <c:v>112.5</c:v>
                </c:pt>
                <c:pt idx="15">
                  <c:v>112.5</c:v>
                </c:pt>
                <c:pt idx="16">
                  <c:v>112.5</c:v>
                </c:pt>
                <c:pt idx="17">
                  <c:v>113.2</c:v>
                </c:pt>
                <c:pt idx="18">
                  <c:v>113.9</c:v>
                </c:pt>
                <c:pt idx="19">
                  <c:v>114</c:v>
                </c:pt>
                <c:pt idx="20">
                  <c:v>114.3</c:v>
                </c:pt>
                <c:pt idx="21">
                  <c:v>114.7</c:v>
                </c:pt>
                <c:pt idx="22">
                  <c:v>115.5</c:v>
                </c:pt>
                <c:pt idx="23">
                  <c:v>115.7</c:v>
                </c:pt>
                <c:pt idx="24">
                  <c:v>116.5</c:v>
                </c:pt>
                <c:pt idx="25">
                  <c:v>117.7</c:v>
                </c:pt>
                <c:pt idx="26">
                  <c:v>118.3</c:v>
                </c:pt>
                <c:pt idx="27">
                  <c:v>118.7</c:v>
                </c:pt>
                <c:pt idx="28">
                  <c:v>119.2</c:v>
                </c:pt>
                <c:pt idx="29">
                  <c:v>119.8</c:v>
                </c:pt>
                <c:pt idx="30">
                  <c:v>120.1</c:v>
                </c:pt>
                <c:pt idx="31">
                  <c:v>120.6</c:v>
                </c:pt>
                <c:pt idx="32">
                  <c:v>120.4</c:v>
                </c:pt>
                <c:pt idx="33">
                  <c:v>120.8</c:v>
                </c:pt>
                <c:pt idx="34">
                  <c:v>121.6</c:v>
                </c:pt>
                <c:pt idx="35">
                  <c:v>122</c:v>
                </c:pt>
                <c:pt idx="36">
                  <c:v>122.7</c:v>
                </c:pt>
                <c:pt idx="37">
                  <c:v>123.1</c:v>
                </c:pt>
                <c:pt idx="38">
                  <c:v>122.4</c:v>
                </c:pt>
                <c:pt idx="39">
                  <c:v>122.3</c:v>
                </c:pt>
                <c:pt idx="40">
                  <c:v>122.7</c:v>
                </c:pt>
                <c:pt idx="41">
                  <c:v>123.3</c:v>
                </c:pt>
                <c:pt idx="42">
                  <c:v>123.4</c:v>
                </c:pt>
                <c:pt idx="43">
                  <c:v>123.6</c:v>
                </c:pt>
                <c:pt idx="44">
                  <c:v>124.1</c:v>
                </c:pt>
                <c:pt idx="45">
                  <c:v>124.3</c:v>
                </c:pt>
                <c:pt idx="46">
                  <c:v>125</c:v>
                </c:pt>
                <c:pt idx="47">
                  <c:v>126.6</c:v>
                </c:pt>
                <c:pt idx="48">
                  <c:v>126.8</c:v>
                </c:pt>
                <c:pt idx="49">
                  <c:v>127.9</c:v>
                </c:pt>
                <c:pt idx="50">
                  <c:v>129.1</c:v>
                </c:pt>
                <c:pt idx="51">
                  <c:v>129.80000000000001</c:v>
                </c:pt>
                <c:pt idx="52">
                  <c:v>129.4</c:v>
                </c:pt>
                <c:pt idx="53">
                  <c:v>128.80000000000001</c:v>
                </c:pt>
                <c:pt idx="54">
                  <c:v>129.4</c:v>
                </c:pt>
                <c:pt idx="55">
                  <c:v>129.80000000000001</c:v>
                </c:pt>
                <c:pt idx="56">
                  <c:v>131</c:v>
                </c:pt>
                <c:pt idx="57">
                  <c:v>132.19999999999999</c:v>
                </c:pt>
                <c:pt idx="58">
                  <c:v>135.30000000000001</c:v>
                </c:pt>
                <c:pt idx="59">
                  <c:v>136.6</c:v>
                </c:pt>
                <c:pt idx="60">
                  <c:v>136.6</c:v>
                </c:pt>
                <c:pt idx="61">
                  <c:v>136.69999999999999</c:v>
                </c:pt>
                <c:pt idx="62">
                  <c:v>136.5</c:v>
                </c:pt>
                <c:pt idx="63">
                  <c:v>136.5</c:v>
                </c:pt>
                <c:pt idx="64">
                  <c:v>136.9</c:v>
                </c:pt>
                <c:pt idx="65">
                  <c:v>138.1</c:v>
                </c:pt>
                <c:pt idx="66">
                  <c:v>139.69999999999999</c:v>
                </c:pt>
                <c:pt idx="67">
                  <c:v>140.9</c:v>
                </c:pt>
                <c:pt idx="68">
                  <c:v>142.30000000000001</c:v>
                </c:pt>
                <c:pt idx="69">
                  <c:v>145.30000000000001</c:v>
                </c:pt>
                <c:pt idx="70">
                  <c:v>145.1</c:v>
                </c:pt>
                <c:pt idx="71">
                  <c:v>142.69999999999999</c:v>
                </c:pt>
                <c:pt idx="72">
                  <c:v>139.5</c:v>
                </c:pt>
                <c:pt idx="73">
                  <c:v>138.4</c:v>
                </c:pt>
                <c:pt idx="74">
                  <c:v>139.69999999999999</c:v>
                </c:pt>
                <c:pt idx="75">
                  <c:v>140.30000000000001</c:v>
                </c:pt>
                <c:pt idx="76">
                  <c:v>141.19999999999999</c:v>
                </c:pt>
                <c:pt idx="77">
                  <c:v>139.30000000000001</c:v>
                </c:pt>
                <c:pt idx="78">
                  <c:v>138.5</c:v>
                </c:pt>
                <c:pt idx="79">
                  <c:v>139.19999999999999</c:v>
                </c:pt>
                <c:pt idx="80">
                  <c:v>140.6</c:v>
                </c:pt>
                <c:pt idx="81">
                  <c:v>142.30000000000001</c:v>
                </c:pt>
                <c:pt idx="82">
                  <c:v>143.69999999999999</c:v>
                </c:pt>
                <c:pt idx="83">
                  <c:v>144.6</c:v>
                </c:pt>
                <c:pt idx="84">
                  <c:v>147.19999999999999</c:v>
                </c:pt>
                <c:pt idx="85">
                  <c:v>148.9</c:v>
                </c:pt>
                <c:pt idx="86">
                  <c:v>144.1</c:v>
                </c:pt>
                <c:pt idx="87">
                  <c:v>143</c:v>
                </c:pt>
                <c:pt idx="88">
                  <c:v>141.9</c:v>
                </c:pt>
                <c:pt idx="89">
                  <c:v>141.9</c:v>
                </c:pt>
                <c:pt idx="90">
                  <c:v>143</c:v>
                </c:pt>
                <c:pt idx="91">
                  <c:v>142.9</c:v>
                </c:pt>
                <c:pt idx="92">
                  <c:v>143.1</c:v>
                </c:pt>
                <c:pt idx="93">
                  <c:v>143.6</c:v>
                </c:pt>
                <c:pt idx="94">
                  <c:v>144.6</c:v>
                </c:pt>
                <c:pt idx="95">
                  <c:v>147.9</c:v>
                </c:pt>
                <c:pt idx="96">
                  <c:v>152.4</c:v>
                </c:pt>
                <c:pt idx="97">
                  <c:v>155.5</c:v>
                </c:pt>
                <c:pt idx="98">
                  <c:v>155.6</c:v>
                </c:pt>
                <c:pt idx="99">
                  <c:v>159.4</c:v>
                </c:pt>
                <c:pt idx="100">
                  <c:v>159.80000000000001</c:v>
                </c:pt>
                <c:pt idx="101">
                  <c:v>160.69999999999999</c:v>
                </c:pt>
                <c:pt idx="102">
                  <c:v>162.6</c:v>
                </c:pt>
                <c:pt idx="103">
                  <c:v>162.6</c:v>
                </c:pt>
                <c:pt idx="104">
                  <c:v>164.2</c:v>
                </c:pt>
                <c:pt idx="105">
                  <c:v>163.9</c:v>
                </c:pt>
                <c:pt idx="106">
                  <c:v>164.1</c:v>
                </c:pt>
                <c:pt idx="107">
                  <c:v>164.2</c:v>
                </c:pt>
                <c:pt idx="108">
                  <c:v>165.7</c:v>
                </c:pt>
                <c:pt idx="109">
                  <c:v>167.2</c:v>
                </c:pt>
                <c:pt idx="110">
                  <c:v>172.2</c:v>
                </c:pt>
                <c:pt idx="111">
                  <c:v>174.6</c:v>
                </c:pt>
                <c:pt idx="112">
                  <c:v>176</c:v>
                </c:pt>
                <c:pt idx="113">
                  <c:v>179.6</c:v>
                </c:pt>
                <c:pt idx="114">
                  <c:v>178.8</c:v>
                </c:pt>
                <c:pt idx="115">
                  <c:v>179.5</c:v>
                </c:pt>
                <c:pt idx="116">
                  <c:v>180.5</c:v>
                </c:pt>
                <c:pt idx="117">
                  <c:v>181.3</c:v>
                </c:pt>
                <c:pt idx="118">
                  <c:v>182</c:v>
                </c:pt>
                <c:pt idx="119">
                  <c:v>182</c:v>
                </c:pt>
                <c:pt idx="120">
                  <c:v>182.1</c:v>
                </c:pt>
                <c:pt idx="121">
                  <c:v>181.9</c:v>
                </c:pt>
                <c:pt idx="122">
                  <c:v>181.7</c:v>
                </c:pt>
                <c:pt idx="123">
                  <c:v>182.8</c:v>
                </c:pt>
              </c:numCache>
            </c:numRef>
          </c:val>
          <c:smooth val="0"/>
          <c:extLst>
            <c:ext xmlns:c16="http://schemas.microsoft.com/office/drawing/2014/chart" uri="{C3380CC4-5D6E-409C-BE32-E72D297353CC}">
              <c16:uniqueId val="{00000002-E7BA-449A-8397-37BB9081C16F}"/>
            </c:ext>
          </c:extLst>
        </c:ser>
        <c:ser>
          <c:idx val="3"/>
          <c:order val="3"/>
          <c:tx>
            <c:strRef>
              <c:f>Sheet7!$E$3</c:f>
              <c:strCache>
                <c:ptCount val="1"/>
                <c:pt idx="0">
                  <c:v>Average of Health</c:v>
                </c:pt>
              </c:strCache>
            </c:strRef>
          </c:tx>
          <c:spPr>
            <a:ln w="28575" cap="rnd">
              <a:solidFill>
                <a:schemeClr val="accent4"/>
              </a:solidFill>
              <a:round/>
            </a:ln>
            <a:effectLst/>
          </c:spPr>
          <c:marker>
            <c:symbol val="none"/>
          </c:marker>
          <c:cat>
            <c:strRef>
              <c:f>Sheet7!$A$4:$A$127</c:f>
              <c:strCache>
                <c:ptCount val="124"/>
                <c:pt idx="0">
                  <c:v>Jan-2013</c:v>
                </c:pt>
                <c:pt idx="1">
                  <c:v>Feb-2013</c:v>
                </c:pt>
                <c:pt idx="2">
                  <c:v>Mar-2013</c:v>
                </c:pt>
                <c:pt idx="3">
                  <c:v>Apr-2013</c:v>
                </c:pt>
                <c:pt idx="4">
                  <c:v>May-2013</c:v>
                </c:pt>
                <c:pt idx="5">
                  <c:v>Jun-2013</c:v>
                </c:pt>
                <c:pt idx="6">
                  <c:v>Jul-2013</c:v>
                </c:pt>
                <c:pt idx="7">
                  <c:v>Aug-2013</c:v>
                </c:pt>
                <c:pt idx="8">
                  <c:v>Sep-2013</c:v>
                </c:pt>
                <c:pt idx="9">
                  <c:v>Oct-2013</c:v>
                </c:pt>
                <c:pt idx="10">
                  <c:v>Nov-2013</c:v>
                </c:pt>
                <c:pt idx="11">
                  <c:v>Dec-2013</c:v>
                </c:pt>
                <c:pt idx="12">
                  <c:v>Jan-2014</c:v>
                </c:pt>
                <c:pt idx="13">
                  <c:v>Feb-2014</c:v>
                </c:pt>
                <c:pt idx="14">
                  <c:v>Mar-2014</c:v>
                </c:pt>
                <c:pt idx="15">
                  <c:v>Apr-2014</c:v>
                </c:pt>
                <c:pt idx="16">
                  <c:v>May-2014</c:v>
                </c:pt>
                <c:pt idx="17">
                  <c:v>Jun-2014</c:v>
                </c:pt>
                <c:pt idx="18">
                  <c:v>Jul-2014</c:v>
                </c:pt>
                <c:pt idx="19">
                  <c:v>Aug-2014</c:v>
                </c:pt>
                <c:pt idx="20">
                  <c:v>Sep-2014</c:v>
                </c:pt>
                <c:pt idx="21">
                  <c:v>Oct-2014</c:v>
                </c:pt>
                <c:pt idx="22">
                  <c:v>Nov-2014</c:v>
                </c:pt>
                <c:pt idx="23">
                  <c:v>Dec-2014</c:v>
                </c:pt>
                <c:pt idx="24">
                  <c:v>Jan-2015</c:v>
                </c:pt>
                <c:pt idx="25">
                  <c:v>Feb-2015</c:v>
                </c:pt>
                <c:pt idx="26">
                  <c:v>Mar-2015</c:v>
                </c:pt>
                <c:pt idx="27">
                  <c:v>Apr-2015</c:v>
                </c:pt>
                <c:pt idx="28">
                  <c:v>May-2015</c:v>
                </c:pt>
                <c:pt idx="29">
                  <c:v>Jun-2015</c:v>
                </c:pt>
                <c:pt idx="30">
                  <c:v>Jul-2015</c:v>
                </c:pt>
                <c:pt idx="31">
                  <c:v>Aug-2015</c:v>
                </c:pt>
                <c:pt idx="32">
                  <c:v>Sep-2015</c:v>
                </c:pt>
                <c:pt idx="33">
                  <c:v>Oct-2015</c:v>
                </c:pt>
                <c:pt idx="34">
                  <c:v>Nov-2015</c:v>
                </c:pt>
                <c:pt idx="35">
                  <c:v>Dec-2015</c:v>
                </c:pt>
                <c:pt idx="36">
                  <c:v>Jan-2016</c:v>
                </c:pt>
                <c:pt idx="37">
                  <c:v>Feb-2016</c:v>
                </c:pt>
                <c:pt idx="38">
                  <c:v>Mar-2016</c:v>
                </c:pt>
                <c:pt idx="39">
                  <c:v>Apr-2016</c:v>
                </c:pt>
                <c:pt idx="40">
                  <c:v>May-2016</c:v>
                </c:pt>
                <c:pt idx="41">
                  <c:v>Jun-2016</c:v>
                </c:pt>
                <c:pt idx="42">
                  <c:v>Jul-2016</c:v>
                </c:pt>
                <c:pt idx="43">
                  <c:v>Aug-2016</c:v>
                </c:pt>
                <c:pt idx="44">
                  <c:v>Sep-2016</c:v>
                </c:pt>
                <c:pt idx="45">
                  <c:v>Oct-2016</c:v>
                </c:pt>
                <c:pt idx="46">
                  <c:v>Nov-2016</c:v>
                </c:pt>
                <c:pt idx="47">
                  <c:v>Dec-2016</c:v>
                </c:pt>
                <c:pt idx="48">
                  <c:v>Jan-2017</c:v>
                </c:pt>
                <c:pt idx="49">
                  <c:v>Feb-2017</c:v>
                </c:pt>
                <c:pt idx="50">
                  <c:v>Mar-2017</c:v>
                </c:pt>
                <c:pt idx="51">
                  <c:v>Apr-2017</c:v>
                </c:pt>
                <c:pt idx="52">
                  <c:v>May-2017</c:v>
                </c:pt>
                <c:pt idx="53">
                  <c:v>Jun-2017</c:v>
                </c:pt>
                <c:pt idx="54">
                  <c:v>Jul-2017</c:v>
                </c:pt>
                <c:pt idx="55">
                  <c:v>Aug-2017</c:v>
                </c:pt>
                <c:pt idx="56">
                  <c:v>Sep-2017</c:v>
                </c:pt>
                <c:pt idx="57">
                  <c:v>Oct-2017</c:v>
                </c:pt>
                <c:pt idx="58">
                  <c:v>Nov-2017</c:v>
                </c:pt>
                <c:pt idx="59">
                  <c:v>Dec-2017</c:v>
                </c:pt>
                <c:pt idx="60">
                  <c:v>Jan-2018</c:v>
                </c:pt>
                <c:pt idx="61">
                  <c:v>Feb-2018</c:v>
                </c:pt>
                <c:pt idx="62">
                  <c:v>Mar-2018</c:v>
                </c:pt>
                <c:pt idx="63">
                  <c:v>Apr-2018</c:v>
                </c:pt>
                <c:pt idx="64">
                  <c:v>May-2018</c:v>
                </c:pt>
                <c:pt idx="65">
                  <c:v>Jun-2018</c:v>
                </c:pt>
                <c:pt idx="66">
                  <c:v>Jul-2018</c:v>
                </c:pt>
                <c:pt idx="67">
                  <c:v>Aug-2018</c:v>
                </c:pt>
                <c:pt idx="68">
                  <c:v>Sep-2018</c:v>
                </c:pt>
                <c:pt idx="69">
                  <c:v>Oct-2018</c:v>
                </c:pt>
                <c:pt idx="70">
                  <c:v>Nov-2018</c:v>
                </c:pt>
                <c:pt idx="71">
                  <c:v>Dec-2018</c:v>
                </c:pt>
                <c:pt idx="72">
                  <c:v>Jan-2019</c:v>
                </c:pt>
                <c:pt idx="73">
                  <c:v>Feb-2019</c:v>
                </c:pt>
                <c:pt idx="74">
                  <c:v>Mar-2019</c:v>
                </c:pt>
                <c:pt idx="75">
                  <c:v>May-2019</c:v>
                </c:pt>
                <c:pt idx="76">
                  <c:v>Jun-2019</c:v>
                </c:pt>
                <c:pt idx="77">
                  <c:v>Jul-2019</c:v>
                </c:pt>
                <c:pt idx="78">
                  <c:v>Aug-2019</c:v>
                </c:pt>
                <c:pt idx="79">
                  <c:v>Sep-2019</c:v>
                </c:pt>
                <c:pt idx="80">
                  <c:v>Oct-2019</c:v>
                </c:pt>
                <c:pt idx="81">
                  <c:v>Nov-2019</c:v>
                </c:pt>
                <c:pt idx="82">
                  <c:v>Dec-2019</c:v>
                </c:pt>
                <c:pt idx="83">
                  <c:v>Jan-2020</c:v>
                </c:pt>
                <c:pt idx="84">
                  <c:v>Feb-2020</c:v>
                </c:pt>
                <c:pt idx="85">
                  <c:v>Mar-2020</c:v>
                </c:pt>
                <c:pt idx="86">
                  <c:v>Apr-2020</c:v>
                </c:pt>
                <c:pt idx="87">
                  <c:v>May-2020</c:v>
                </c:pt>
                <c:pt idx="88">
                  <c:v>Jun-2020</c:v>
                </c:pt>
                <c:pt idx="89">
                  <c:v>Jul-2020</c:v>
                </c:pt>
                <c:pt idx="90">
                  <c:v>Aug-2020</c:v>
                </c:pt>
                <c:pt idx="91">
                  <c:v>Sep-2020</c:v>
                </c:pt>
                <c:pt idx="92">
                  <c:v>Oct-2020</c:v>
                </c:pt>
                <c:pt idx="93">
                  <c:v>Nov-2020</c:v>
                </c:pt>
                <c:pt idx="94">
                  <c:v>Dec-2020</c:v>
                </c:pt>
                <c:pt idx="95">
                  <c:v>Jan-2021</c:v>
                </c:pt>
                <c:pt idx="96">
                  <c:v>Feb-2021</c:v>
                </c:pt>
                <c:pt idx="97">
                  <c:v>Mar-2021</c:v>
                </c:pt>
                <c:pt idx="98">
                  <c:v>Apr-2021</c:v>
                </c:pt>
                <c:pt idx="99">
                  <c:v>May-2021</c:v>
                </c:pt>
                <c:pt idx="100">
                  <c:v>Jun-2021</c:v>
                </c:pt>
                <c:pt idx="101">
                  <c:v>Jul-2021</c:v>
                </c:pt>
                <c:pt idx="102">
                  <c:v>Aug-2021</c:v>
                </c:pt>
                <c:pt idx="103">
                  <c:v>Sep-2021</c:v>
                </c:pt>
                <c:pt idx="104">
                  <c:v>Oct-2021</c:v>
                </c:pt>
                <c:pt idx="105">
                  <c:v>Nov-2021</c:v>
                </c:pt>
                <c:pt idx="106">
                  <c:v>Dec-2021</c:v>
                </c:pt>
                <c:pt idx="107">
                  <c:v>Jan-2022</c:v>
                </c:pt>
                <c:pt idx="108">
                  <c:v>Feb-2022</c:v>
                </c:pt>
                <c:pt idx="109">
                  <c:v>Mar-2022</c:v>
                </c:pt>
                <c:pt idx="110">
                  <c:v>Apr-2022</c:v>
                </c:pt>
                <c:pt idx="111">
                  <c:v>May-2022</c:v>
                </c:pt>
                <c:pt idx="112">
                  <c:v>Jun-2022</c:v>
                </c:pt>
                <c:pt idx="113">
                  <c:v>Jul-2022</c:v>
                </c:pt>
                <c:pt idx="114">
                  <c:v>Aug-2022</c:v>
                </c:pt>
                <c:pt idx="115">
                  <c:v>Sep-2022</c:v>
                </c:pt>
                <c:pt idx="116">
                  <c:v>Oct-2022</c:v>
                </c:pt>
                <c:pt idx="117">
                  <c:v>Nov-2022</c:v>
                </c:pt>
                <c:pt idx="118">
                  <c:v>Dec-2022</c:v>
                </c:pt>
                <c:pt idx="119">
                  <c:v>Jan-2023</c:v>
                </c:pt>
                <c:pt idx="120">
                  <c:v>Feb-2023</c:v>
                </c:pt>
                <c:pt idx="121">
                  <c:v>Mar-2023</c:v>
                </c:pt>
                <c:pt idx="122">
                  <c:v>Apr-2023</c:v>
                </c:pt>
                <c:pt idx="123">
                  <c:v>May-2023</c:v>
                </c:pt>
              </c:strCache>
            </c:strRef>
          </c:cat>
          <c:val>
            <c:numRef>
              <c:f>Sheet7!$E$4:$E$127</c:f>
              <c:numCache>
                <c:formatCode>0.00</c:formatCode>
                <c:ptCount val="124"/>
                <c:pt idx="0">
                  <c:v>104</c:v>
                </c:pt>
                <c:pt idx="1">
                  <c:v>104.5</c:v>
                </c:pt>
                <c:pt idx="2">
                  <c:v>104.9</c:v>
                </c:pt>
                <c:pt idx="3">
                  <c:v>105.3</c:v>
                </c:pt>
                <c:pt idx="4">
                  <c:v>105.9</c:v>
                </c:pt>
                <c:pt idx="5">
                  <c:v>106.4</c:v>
                </c:pt>
                <c:pt idx="6">
                  <c:v>107</c:v>
                </c:pt>
                <c:pt idx="7">
                  <c:v>107.5</c:v>
                </c:pt>
                <c:pt idx="8">
                  <c:v>108.1</c:v>
                </c:pt>
                <c:pt idx="9">
                  <c:v>108.6</c:v>
                </c:pt>
                <c:pt idx="10">
                  <c:v>109.3</c:v>
                </c:pt>
                <c:pt idx="11">
                  <c:v>109.7</c:v>
                </c:pt>
                <c:pt idx="12">
                  <c:v>110.3</c:v>
                </c:pt>
                <c:pt idx="13">
                  <c:v>110.7</c:v>
                </c:pt>
                <c:pt idx="14">
                  <c:v>111.2</c:v>
                </c:pt>
                <c:pt idx="15">
                  <c:v>111.5</c:v>
                </c:pt>
                <c:pt idx="16">
                  <c:v>111.8</c:v>
                </c:pt>
                <c:pt idx="17">
                  <c:v>112.3</c:v>
                </c:pt>
                <c:pt idx="18">
                  <c:v>112.7</c:v>
                </c:pt>
                <c:pt idx="19">
                  <c:v>113.3</c:v>
                </c:pt>
                <c:pt idx="20">
                  <c:v>113.7</c:v>
                </c:pt>
                <c:pt idx="21">
                  <c:v>114.3</c:v>
                </c:pt>
                <c:pt idx="22">
                  <c:v>114.8</c:v>
                </c:pt>
                <c:pt idx="23">
                  <c:v>115.1</c:v>
                </c:pt>
                <c:pt idx="24">
                  <c:v>115.5</c:v>
                </c:pt>
                <c:pt idx="25">
                  <c:v>116.3</c:v>
                </c:pt>
                <c:pt idx="26">
                  <c:v>116.7</c:v>
                </c:pt>
                <c:pt idx="27">
                  <c:v>117.1</c:v>
                </c:pt>
                <c:pt idx="28">
                  <c:v>117.7</c:v>
                </c:pt>
                <c:pt idx="29">
                  <c:v>118.5</c:v>
                </c:pt>
                <c:pt idx="30">
                  <c:v>119</c:v>
                </c:pt>
                <c:pt idx="31">
                  <c:v>119.4</c:v>
                </c:pt>
                <c:pt idx="32">
                  <c:v>119.8</c:v>
                </c:pt>
                <c:pt idx="33">
                  <c:v>120.4</c:v>
                </c:pt>
                <c:pt idx="34">
                  <c:v>120.9</c:v>
                </c:pt>
                <c:pt idx="35">
                  <c:v>121.4</c:v>
                </c:pt>
                <c:pt idx="36">
                  <c:v>122</c:v>
                </c:pt>
                <c:pt idx="37">
                  <c:v>122.5</c:v>
                </c:pt>
                <c:pt idx="38">
                  <c:v>122.9</c:v>
                </c:pt>
                <c:pt idx="39">
                  <c:v>123.2</c:v>
                </c:pt>
                <c:pt idx="40">
                  <c:v>123.7</c:v>
                </c:pt>
                <c:pt idx="41">
                  <c:v>124.1</c:v>
                </c:pt>
                <c:pt idx="42">
                  <c:v>124.5</c:v>
                </c:pt>
                <c:pt idx="43">
                  <c:v>124.8</c:v>
                </c:pt>
                <c:pt idx="44">
                  <c:v>125.4</c:v>
                </c:pt>
                <c:pt idx="45">
                  <c:v>126.1</c:v>
                </c:pt>
                <c:pt idx="46">
                  <c:v>126.4</c:v>
                </c:pt>
                <c:pt idx="47">
                  <c:v>126.9</c:v>
                </c:pt>
                <c:pt idx="48">
                  <c:v>127.1</c:v>
                </c:pt>
                <c:pt idx="49">
                  <c:v>127.4</c:v>
                </c:pt>
                <c:pt idx="50">
                  <c:v>127.8</c:v>
                </c:pt>
                <c:pt idx="51">
                  <c:v>128.1</c:v>
                </c:pt>
                <c:pt idx="52">
                  <c:v>128.4</c:v>
                </c:pt>
                <c:pt idx="53">
                  <c:v>128.5</c:v>
                </c:pt>
                <c:pt idx="54">
                  <c:v>129.4</c:v>
                </c:pt>
                <c:pt idx="55">
                  <c:v>130.19999999999999</c:v>
                </c:pt>
                <c:pt idx="56">
                  <c:v>130.6</c:v>
                </c:pt>
                <c:pt idx="57">
                  <c:v>131.30000000000001</c:v>
                </c:pt>
                <c:pt idx="58">
                  <c:v>132.6</c:v>
                </c:pt>
                <c:pt idx="59">
                  <c:v>133.1</c:v>
                </c:pt>
                <c:pt idx="60">
                  <c:v>133.30000000000001</c:v>
                </c:pt>
                <c:pt idx="61">
                  <c:v>133.80000000000001</c:v>
                </c:pt>
                <c:pt idx="62">
                  <c:v>134.30000000000001</c:v>
                </c:pt>
                <c:pt idx="63">
                  <c:v>135.19999999999999</c:v>
                </c:pt>
                <c:pt idx="64">
                  <c:v>136</c:v>
                </c:pt>
                <c:pt idx="65">
                  <c:v>136.19999999999999</c:v>
                </c:pt>
                <c:pt idx="66">
                  <c:v>137</c:v>
                </c:pt>
                <c:pt idx="67">
                  <c:v>137.69999999999999</c:v>
                </c:pt>
                <c:pt idx="68">
                  <c:v>138.4</c:v>
                </c:pt>
                <c:pt idx="69">
                  <c:v>142.1</c:v>
                </c:pt>
                <c:pt idx="70">
                  <c:v>142.1</c:v>
                </c:pt>
                <c:pt idx="71">
                  <c:v>144.9</c:v>
                </c:pt>
                <c:pt idx="72">
                  <c:v>145.1</c:v>
                </c:pt>
                <c:pt idx="73">
                  <c:v>145.6</c:v>
                </c:pt>
                <c:pt idx="74">
                  <c:v>146.19999999999999</c:v>
                </c:pt>
                <c:pt idx="75">
                  <c:v>146.9</c:v>
                </c:pt>
                <c:pt idx="76">
                  <c:v>147.4</c:v>
                </c:pt>
                <c:pt idx="77">
                  <c:v>147.9</c:v>
                </c:pt>
                <c:pt idx="78">
                  <c:v>148.5</c:v>
                </c:pt>
                <c:pt idx="79">
                  <c:v>149</c:v>
                </c:pt>
                <c:pt idx="80">
                  <c:v>149.4</c:v>
                </c:pt>
                <c:pt idx="81">
                  <c:v>149.9</c:v>
                </c:pt>
                <c:pt idx="82">
                  <c:v>150.4</c:v>
                </c:pt>
                <c:pt idx="83">
                  <c:v>151.19999999999999</c:v>
                </c:pt>
                <c:pt idx="84">
                  <c:v>151.69999999999999</c:v>
                </c:pt>
                <c:pt idx="85">
                  <c:v>152.30000000000001</c:v>
                </c:pt>
                <c:pt idx="86">
                  <c:v>150.69999999999999</c:v>
                </c:pt>
                <c:pt idx="87">
                  <c:v>152.55000000000001</c:v>
                </c:pt>
                <c:pt idx="88">
                  <c:v>154.4</c:v>
                </c:pt>
                <c:pt idx="89">
                  <c:v>154.4</c:v>
                </c:pt>
                <c:pt idx="90">
                  <c:v>155</c:v>
                </c:pt>
                <c:pt idx="91">
                  <c:v>155.6</c:v>
                </c:pt>
                <c:pt idx="92">
                  <c:v>156.30000000000001</c:v>
                </c:pt>
                <c:pt idx="93">
                  <c:v>157.19999999999999</c:v>
                </c:pt>
                <c:pt idx="94">
                  <c:v>158.30000000000001</c:v>
                </c:pt>
                <c:pt idx="95">
                  <c:v>159.30000000000001</c:v>
                </c:pt>
                <c:pt idx="96">
                  <c:v>161.30000000000001</c:v>
                </c:pt>
                <c:pt idx="97">
                  <c:v>161.69999999999999</c:v>
                </c:pt>
                <c:pt idx="98">
                  <c:v>162.30000000000001</c:v>
                </c:pt>
                <c:pt idx="99">
                  <c:v>165.8</c:v>
                </c:pt>
                <c:pt idx="100">
                  <c:v>166.3</c:v>
                </c:pt>
                <c:pt idx="101">
                  <c:v>167</c:v>
                </c:pt>
                <c:pt idx="102">
                  <c:v>168.4</c:v>
                </c:pt>
                <c:pt idx="103">
                  <c:v>168.4</c:v>
                </c:pt>
                <c:pt idx="104">
                  <c:v>169.1</c:v>
                </c:pt>
                <c:pt idx="105">
                  <c:v>169.9</c:v>
                </c:pt>
                <c:pt idx="106">
                  <c:v>170.6</c:v>
                </c:pt>
                <c:pt idx="107">
                  <c:v>171.4</c:v>
                </c:pt>
                <c:pt idx="108">
                  <c:v>172.2</c:v>
                </c:pt>
                <c:pt idx="109">
                  <c:v>173</c:v>
                </c:pt>
                <c:pt idx="110">
                  <c:v>174</c:v>
                </c:pt>
                <c:pt idx="111">
                  <c:v>174.8</c:v>
                </c:pt>
                <c:pt idx="112">
                  <c:v>175.4</c:v>
                </c:pt>
                <c:pt idx="113">
                  <c:v>176.1</c:v>
                </c:pt>
                <c:pt idx="114">
                  <c:v>176.8</c:v>
                </c:pt>
                <c:pt idx="115">
                  <c:v>177.8</c:v>
                </c:pt>
                <c:pt idx="116">
                  <c:v>178.7</c:v>
                </c:pt>
                <c:pt idx="117">
                  <c:v>179.8</c:v>
                </c:pt>
                <c:pt idx="118">
                  <c:v>181.1</c:v>
                </c:pt>
                <c:pt idx="119">
                  <c:v>182.3</c:v>
                </c:pt>
                <c:pt idx="120">
                  <c:v>184.4</c:v>
                </c:pt>
                <c:pt idx="121">
                  <c:v>184.4</c:v>
                </c:pt>
                <c:pt idx="122">
                  <c:v>185</c:v>
                </c:pt>
                <c:pt idx="123">
                  <c:v>185.7</c:v>
                </c:pt>
              </c:numCache>
            </c:numRef>
          </c:val>
          <c:smooth val="0"/>
          <c:extLst>
            <c:ext xmlns:c16="http://schemas.microsoft.com/office/drawing/2014/chart" uri="{C3380CC4-5D6E-409C-BE32-E72D297353CC}">
              <c16:uniqueId val="{00000003-E7BA-449A-8397-37BB9081C16F}"/>
            </c:ext>
          </c:extLst>
        </c:ser>
        <c:ser>
          <c:idx val="4"/>
          <c:order val="4"/>
          <c:tx>
            <c:strRef>
              <c:f>Sheet7!$F$3</c:f>
              <c:strCache>
                <c:ptCount val="1"/>
                <c:pt idx="0">
                  <c:v>Average of Transport &amp; Communication</c:v>
                </c:pt>
              </c:strCache>
            </c:strRef>
          </c:tx>
          <c:spPr>
            <a:ln w="28575" cap="rnd">
              <a:solidFill>
                <a:schemeClr val="accent5"/>
              </a:solidFill>
              <a:round/>
            </a:ln>
            <a:effectLst/>
          </c:spPr>
          <c:marker>
            <c:symbol val="none"/>
          </c:marker>
          <c:cat>
            <c:strRef>
              <c:f>Sheet7!$A$4:$A$127</c:f>
              <c:strCache>
                <c:ptCount val="124"/>
                <c:pt idx="0">
                  <c:v>Jan-2013</c:v>
                </c:pt>
                <c:pt idx="1">
                  <c:v>Feb-2013</c:v>
                </c:pt>
                <c:pt idx="2">
                  <c:v>Mar-2013</c:v>
                </c:pt>
                <c:pt idx="3">
                  <c:v>Apr-2013</c:v>
                </c:pt>
                <c:pt idx="4">
                  <c:v>May-2013</c:v>
                </c:pt>
                <c:pt idx="5">
                  <c:v>Jun-2013</c:v>
                </c:pt>
                <c:pt idx="6">
                  <c:v>Jul-2013</c:v>
                </c:pt>
                <c:pt idx="7">
                  <c:v>Aug-2013</c:v>
                </c:pt>
                <c:pt idx="8">
                  <c:v>Sep-2013</c:v>
                </c:pt>
                <c:pt idx="9">
                  <c:v>Oct-2013</c:v>
                </c:pt>
                <c:pt idx="10">
                  <c:v>Nov-2013</c:v>
                </c:pt>
                <c:pt idx="11">
                  <c:v>Dec-2013</c:v>
                </c:pt>
                <c:pt idx="12">
                  <c:v>Jan-2014</c:v>
                </c:pt>
                <c:pt idx="13">
                  <c:v>Feb-2014</c:v>
                </c:pt>
                <c:pt idx="14">
                  <c:v>Mar-2014</c:v>
                </c:pt>
                <c:pt idx="15">
                  <c:v>Apr-2014</c:v>
                </c:pt>
                <c:pt idx="16">
                  <c:v>May-2014</c:v>
                </c:pt>
                <c:pt idx="17">
                  <c:v>Jun-2014</c:v>
                </c:pt>
                <c:pt idx="18">
                  <c:v>Jul-2014</c:v>
                </c:pt>
                <c:pt idx="19">
                  <c:v>Aug-2014</c:v>
                </c:pt>
                <c:pt idx="20">
                  <c:v>Sep-2014</c:v>
                </c:pt>
                <c:pt idx="21">
                  <c:v>Oct-2014</c:v>
                </c:pt>
                <c:pt idx="22">
                  <c:v>Nov-2014</c:v>
                </c:pt>
                <c:pt idx="23">
                  <c:v>Dec-2014</c:v>
                </c:pt>
                <c:pt idx="24">
                  <c:v>Jan-2015</c:v>
                </c:pt>
                <c:pt idx="25">
                  <c:v>Feb-2015</c:v>
                </c:pt>
                <c:pt idx="26">
                  <c:v>Mar-2015</c:v>
                </c:pt>
                <c:pt idx="27">
                  <c:v>Apr-2015</c:v>
                </c:pt>
                <c:pt idx="28">
                  <c:v>May-2015</c:v>
                </c:pt>
                <c:pt idx="29">
                  <c:v>Jun-2015</c:v>
                </c:pt>
                <c:pt idx="30">
                  <c:v>Jul-2015</c:v>
                </c:pt>
                <c:pt idx="31">
                  <c:v>Aug-2015</c:v>
                </c:pt>
                <c:pt idx="32">
                  <c:v>Sep-2015</c:v>
                </c:pt>
                <c:pt idx="33">
                  <c:v>Oct-2015</c:v>
                </c:pt>
                <c:pt idx="34">
                  <c:v>Nov-2015</c:v>
                </c:pt>
                <c:pt idx="35">
                  <c:v>Dec-2015</c:v>
                </c:pt>
                <c:pt idx="36">
                  <c:v>Jan-2016</c:v>
                </c:pt>
                <c:pt idx="37">
                  <c:v>Feb-2016</c:v>
                </c:pt>
                <c:pt idx="38">
                  <c:v>Mar-2016</c:v>
                </c:pt>
                <c:pt idx="39">
                  <c:v>Apr-2016</c:v>
                </c:pt>
                <c:pt idx="40">
                  <c:v>May-2016</c:v>
                </c:pt>
                <c:pt idx="41">
                  <c:v>Jun-2016</c:v>
                </c:pt>
                <c:pt idx="42">
                  <c:v>Jul-2016</c:v>
                </c:pt>
                <c:pt idx="43">
                  <c:v>Aug-2016</c:v>
                </c:pt>
                <c:pt idx="44">
                  <c:v>Sep-2016</c:v>
                </c:pt>
                <c:pt idx="45">
                  <c:v>Oct-2016</c:v>
                </c:pt>
                <c:pt idx="46">
                  <c:v>Nov-2016</c:v>
                </c:pt>
                <c:pt idx="47">
                  <c:v>Dec-2016</c:v>
                </c:pt>
                <c:pt idx="48">
                  <c:v>Jan-2017</c:v>
                </c:pt>
                <c:pt idx="49">
                  <c:v>Feb-2017</c:v>
                </c:pt>
                <c:pt idx="50">
                  <c:v>Mar-2017</c:v>
                </c:pt>
                <c:pt idx="51">
                  <c:v>Apr-2017</c:v>
                </c:pt>
                <c:pt idx="52">
                  <c:v>May-2017</c:v>
                </c:pt>
                <c:pt idx="53">
                  <c:v>Jun-2017</c:v>
                </c:pt>
                <c:pt idx="54">
                  <c:v>Jul-2017</c:v>
                </c:pt>
                <c:pt idx="55">
                  <c:v>Aug-2017</c:v>
                </c:pt>
                <c:pt idx="56">
                  <c:v>Sep-2017</c:v>
                </c:pt>
                <c:pt idx="57">
                  <c:v>Oct-2017</c:v>
                </c:pt>
                <c:pt idx="58">
                  <c:v>Nov-2017</c:v>
                </c:pt>
                <c:pt idx="59">
                  <c:v>Dec-2017</c:v>
                </c:pt>
                <c:pt idx="60">
                  <c:v>Jan-2018</c:v>
                </c:pt>
                <c:pt idx="61">
                  <c:v>Feb-2018</c:v>
                </c:pt>
                <c:pt idx="62">
                  <c:v>Mar-2018</c:v>
                </c:pt>
                <c:pt idx="63">
                  <c:v>Apr-2018</c:v>
                </c:pt>
                <c:pt idx="64">
                  <c:v>May-2018</c:v>
                </c:pt>
                <c:pt idx="65">
                  <c:v>Jun-2018</c:v>
                </c:pt>
                <c:pt idx="66">
                  <c:v>Jul-2018</c:v>
                </c:pt>
                <c:pt idx="67">
                  <c:v>Aug-2018</c:v>
                </c:pt>
                <c:pt idx="68">
                  <c:v>Sep-2018</c:v>
                </c:pt>
                <c:pt idx="69">
                  <c:v>Oct-2018</c:v>
                </c:pt>
                <c:pt idx="70">
                  <c:v>Nov-2018</c:v>
                </c:pt>
                <c:pt idx="71">
                  <c:v>Dec-2018</c:v>
                </c:pt>
                <c:pt idx="72">
                  <c:v>Jan-2019</c:v>
                </c:pt>
                <c:pt idx="73">
                  <c:v>Feb-2019</c:v>
                </c:pt>
                <c:pt idx="74">
                  <c:v>Mar-2019</c:v>
                </c:pt>
                <c:pt idx="75">
                  <c:v>May-2019</c:v>
                </c:pt>
                <c:pt idx="76">
                  <c:v>Jun-2019</c:v>
                </c:pt>
                <c:pt idx="77">
                  <c:v>Jul-2019</c:v>
                </c:pt>
                <c:pt idx="78">
                  <c:v>Aug-2019</c:v>
                </c:pt>
                <c:pt idx="79">
                  <c:v>Sep-2019</c:v>
                </c:pt>
                <c:pt idx="80">
                  <c:v>Oct-2019</c:v>
                </c:pt>
                <c:pt idx="81">
                  <c:v>Nov-2019</c:v>
                </c:pt>
                <c:pt idx="82">
                  <c:v>Dec-2019</c:v>
                </c:pt>
                <c:pt idx="83">
                  <c:v>Jan-2020</c:v>
                </c:pt>
                <c:pt idx="84">
                  <c:v>Feb-2020</c:v>
                </c:pt>
                <c:pt idx="85">
                  <c:v>Mar-2020</c:v>
                </c:pt>
                <c:pt idx="86">
                  <c:v>Apr-2020</c:v>
                </c:pt>
                <c:pt idx="87">
                  <c:v>May-2020</c:v>
                </c:pt>
                <c:pt idx="88">
                  <c:v>Jun-2020</c:v>
                </c:pt>
                <c:pt idx="89">
                  <c:v>Jul-2020</c:v>
                </c:pt>
                <c:pt idx="90">
                  <c:v>Aug-2020</c:v>
                </c:pt>
                <c:pt idx="91">
                  <c:v>Sep-2020</c:v>
                </c:pt>
                <c:pt idx="92">
                  <c:v>Oct-2020</c:v>
                </c:pt>
                <c:pt idx="93">
                  <c:v>Nov-2020</c:v>
                </c:pt>
                <c:pt idx="94">
                  <c:v>Dec-2020</c:v>
                </c:pt>
                <c:pt idx="95">
                  <c:v>Jan-2021</c:v>
                </c:pt>
                <c:pt idx="96">
                  <c:v>Feb-2021</c:v>
                </c:pt>
                <c:pt idx="97">
                  <c:v>Mar-2021</c:v>
                </c:pt>
                <c:pt idx="98">
                  <c:v>Apr-2021</c:v>
                </c:pt>
                <c:pt idx="99">
                  <c:v>May-2021</c:v>
                </c:pt>
                <c:pt idx="100">
                  <c:v>Jun-2021</c:v>
                </c:pt>
                <c:pt idx="101">
                  <c:v>Jul-2021</c:v>
                </c:pt>
                <c:pt idx="102">
                  <c:v>Aug-2021</c:v>
                </c:pt>
                <c:pt idx="103">
                  <c:v>Sep-2021</c:v>
                </c:pt>
                <c:pt idx="104">
                  <c:v>Oct-2021</c:v>
                </c:pt>
                <c:pt idx="105">
                  <c:v>Nov-2021</c:v>
                </c:pt>
                <c:pt idx="106">
                  <c:v>Dec-2021</c:v>
                </c:pt>
                <c:pt idx="107">
                  <c:v>Jan-2022</c:v>
                </c:pt>
                <c:pt idx="108">
                  <c:v>Feb-2022</c:v>
                </c:pt>
                <c:pt idx="109">
                  <c:v>Mar-2022</c:v>
                </c:pt>
                <c:pt idx="110">
                  <c:v>Apr-2022</c:v>
                </c:pt>
                <c:pt idx="111">
                  <c:v>May-2022</c:v>
                </c:pt>
                <c:pt idx="112">
                  <c:v>Jun-2022</c:v>
                </c:pt>
                <c:pt idx="113">
                  <c:v>Jul-2022</c:v>
                </c:pt>
                <c:pt idx="114">
                  <c:v>Aug-2022</c:v>
                </c:pt>
                <c:pt idx="115">
                  <c:v>Sep-2022</c:v>
                </c:pt>
                <c:pt idx="116">
                  <c:v>Oct-2022</c:v>
                </c:pt>
                <c:pt idx="117">
                  <c:v>Nov-2022</c:v>
                </c:pt>
                <c:pt idx="118">
                  <c:v>Dec-2022</c:v>
                </c:pt>
                <c:pt idx="119">
                  <c:v>Jan-2023</c:v>
                </c:pt>
                <c:pt idx="120">
                  <c:v>Feb-2023</c:v>
                </c:pt>
                <c:pt idx="121">
                  <c:v>Mar-2023</c:v>
                </c:pt>
                <c:pt idx="122">
                  <c:v>Apr-2023</c:v>
                </c:pt>
                <c:pt idx="123">
                  <c:v>May-2023</c:v>
                </c:pt>
              </c:strCache>
            </c:strRef>
          </c:cat>
          <c:val>
            <c:numRef>
              <c:f>Sheet7!$F$4:$F$127</c:f>
              <c:numCache>
                <c:formatCode>0.00</c:formatCode>
                <c:ptCount val="124"/>
                <c:pt idx="0">
                  <c:v>103.2</c:v>
                </c:pt>
                <c:pt idx="1">
                  <c:v>104.2</c:v>
                </c:pt>
                <c:pt idx="2">
                  <c:v>105.1</c:v>
                </c:pt>
                <c:pt idx="3">
                  <c:v>104.7</c:v>
                </c:pt>
                <c:pt idx="4">
                  <c:v>104</c:v>
                </c:pt>
                <c:pt idx="5">
                  <c:v>105.1</c:v>
                </c:pt>
                <c:pt idx="6">
                  <c:v>107.1</c:v>
                </c:pt>
                <c:pt idx="7">
                  <c:v>108</c:v>
                </c:pt>
                <c:pt idx="8">
                  <c:v>109.9</c:v>
                </c:pt>
                <c:pt idx="9">
                  <c:v>109.5</c:v>
                </c:pt>
                <c:pt idx="10">
                  <c:v>109.5</c:v>
                </c:pt>
                <c:pt idx="11">
                  <c:v>109.8</c:v>
                </c:pt>
                <c:pt idx="12">
                  <c:v>110.7</c:v>
                </c:pt>
                <c:pt idx="13">
                  <c:v>111.1</c:v>
                </c:pt>
                <c:pt idx="14">
                  <c:v>111.4</c:v>
                </c:pt>
                <c:pt idx="15">
                  <c:v>111.2</c:v>
                </c:pt>
                <c:pt idx="16">
                  <c:v>111.3</c:v>
                </c:pt>
                <c:pt idx="17">
                  <c:v>111.8</c:v>
                </c:pt>
                <c:pt idx="18">
                  <c:v>113.1</c:v>
                </c:pt>
                <c:pt idx="19">
                  <c:v>112.8</c:v>
                </c:pt>
                <c:pt idx="20">
                  <c:v>112</c:v>
                </c:pt>
                <c:pt idx="21">
                  <c:v>111.8</c:v>
                </c:pt>
                <c:pt idx="22">
                  <c:v>110.8</c:v>
                </c:pt>
                <c:pt idx="23">
                  <c:v>110.1</c:v>
                </c:pt>
                <c:pt idx="24">
                  <c:v>109.4</c:v>
                </c:pt>
                <c:pt idx="25">
                  <c:v>108.7</c:v>
                </c:pt>
                <c:pt idx="26">
                  <c:v>109.9</c:v>
                </c:pt>
                <c:pt idx="27">
                  <c:v>110.1</c:v>
                </c:pt>
                <c:pt idx="28">
                  <c:v>112</c:v>
                </c:pt>
                <c:pt idx="29">
                  <c:v>112.9</c:v>
                </c:pt>
                <c:pt idx="30">
                  <c:v>112.7</c:v>
                </c:pt>
                <c:pt idx="31">
                  <c:v>111.7</c:v>
                </c:pt>
                <c:pt idx="32">
                  <c:v>111.3</c:v>
                </c:pt>
                <c:pt idx="33">
                  <c:v>111.4</c:v>
                </c:pt>
                <c:pt idx="34">
                  <c:v>111.5</c:v>
                </c:pt>
                <c:pt idx="35">
                  <c:v>111.5</c:v>
                </c:pt>
                <c:pt idx="36">
                  <c:v>111.1</c:v>
                </c:pt>
                <c:pt idx="37">
                  <c:v>111.4</c:v>
                </c:pt>
                <c:pt idx="38">
                  <c:v>110.9</c:v>
                </c:pt>
                <c:pt idx="39">
                  <c:v>112.1</c:v>
                </c:pt>
                <c:pt idx="40">
                  <c:v>112.8</c:v>
                </c:pt>
                <c:pt idx="41">
                  <c:v>114.2</c:v>
                </c:pt>
                <c:pt idx="42">
                  <c:v>113.9</c:v>
                </c:pt>
                <c:pt idx="43">
                  <c:v>113.1</c:v>
                </c:pt>
                <c:pt idx="44">
                  <c:v>114.3</c:v>
                </c:pt>
                <c:pt idx="45">
                  <c:v>115.2</c:v>
                </c:pt>
                <c:pt idx="46">
                  <c:v>115.7</c:v>
                </c:pt>
                <c:pt idx="47">
                  <c:v>116</c:v>
                </c:pt>
                <c:pt idx="48">
                  <c:v>117</c:v>
                </c:pt>
                <c:pt idx="49">
                  <c:v>117.4</c:v>
                </c:pt>
                <c:pt idx="50">
                  <c:v>117.6</c:v>
                </c:pt>
                <c:pt idx="51">
                  <c:v>116.6</c:v>
                </c:pt>
                <c:pt idx="52">
                  <c:v>116.7</c:v>
                </c:pt>
                <c:pt idx="53">
                  <c:v>116.5</c:v>
                </c:pt>
                <c:pt idx="54">
                  <c:v>116</c:v>
                </c:pt>
                <c:pt idx="55">
                  <c:v>117.3</c:v>
                </c:pt>
                <c:pt idx="56">
                  <c:v>118.3</c:v>
                </c:pt>
                <c:pt idx="57">
                  <c:v>117.8</c:v>
                </c:pt>
                <c:pt idx="58">
                  <c:v>118.3</c:v>
                </c:pt>
                <c:pt idx="59">
                  <c:v>118.5</c:v>
                </c:pt>
                <c:pt idx="60">
                  <c:v>119.3</c:v>
                </c:pt>
                <c:pt idx="61">
                  <c:v>120.2</c:v>
                </c:pt>
                <c:pt idx="62">
                  <c:v>121</c:v>
                </c:pt>
                <c:pt idx="63">
                  <c:v>121.9</c:v>
                </c:pt>
                <c:pt idx="64">
                  <c:v>122.9</c:v>
                </c:pt>
                <c:pt idx="65">
                  <c:v>123.7</c:v>
                </c:pt>
                <c:pt idx="66">
                  <c:v>123.6</c:v>
                </c:pt>
                <c:pt idx="67">
                  <c:v>124.3</c:v>
                </c:pt>
                <c:pt idx="68">
                  <c:v>126</c:v>
                </c:pt>
                <c:pt idx="69">
                  <c:v>125.5</c:v>
                </c:pt>
                <c:pt idx="70">
                  <c:v>125.5</c:v>
                </c:pt>
                <c:pt idx="71">
                  <c:v>123.6</c:v>
                </c:pt>
                <c:pt idx="72">
                  <c:v>123.3</c:v>
                </c:pt>
                <c:pt idx="73">
                  <c:v>123.9</c:v>
                </c:pt>
                <c:pt idx="74">
                  <c:v>124.6</c:v>
                </c:pt>
                <c:pt idx="75">
                  <c:v>124.9</c:v>
                </c:pt>
                <c:pt idx="76">
                  <c:v>124.6</c:v>
                </c:pt>
                <c:pt idx="77">
                  <c:v>125.6</c:v>
                </c:pt>
                <c:pt idx="78">
                  <c:v>125.8</c:v>
                </c:pt>
                <c:pt idx="79">
                  <c:v>126.1</c:v>
                </c:pt>
                <c:pt idx="80">
                  <c:v>126.3</c:v>
                </c:pt>
                <c:pt idx="81">
                  <c:v>126.6</c:v>
                </c:pt>
                <c:pt idx="82">
                  <c:v>129.80000000000001</c:v>
                </c:pt>
                <c:pt idx="83">
                  <c:v>130.9</c:v>
                </c:pt>
                <c:pt idx="84">
                  <c:v>130.30000000000001</c:v>
                </c:pt>
                <c:pt idx="85">
                  <c:v>129.9</c:v>
                </c:pt>
                <c:pt idx="86">
                  <c:v>131.6</c:v>
                </c:pt>
                <c:pt idx="87">
                  <c:v>133.30000000000001</c:v>
                </c:pt>
                <c:pt idx="88">
                  <c:v>135</c:v>
                </c:pt>
                <c:pt idx="89">
                  <c:v>135</c:v>
                </c:pt>
                <c:pt idx="90">
                  <c:v>138.5</c:v>
                </c:pt>
                <c:pt idx="91">
                  <c:v>139.6</c:v>
                </c:pt>
                <c:pt idx="92">
                  <c:v>140.6</c:v>
                </c:pt>
                <c:pt idx="93">
                  <c:v>140.4</c:v>
                </c:pt>
                <c:pt idx="94">
                  <c:v>140.69999999999999</c:v>
                </c:pt>
                <c:pt idx="95">
                  <c:v>141.9</c:v>
                </c:pt>
                <c:pt idx="96">
                  <c:v>145.1</c:v>
                </c:pt>
                <c:pt idx="97">
                  <c:v>146.19999999999999</c:v>
                </c:pt>
                <c:pt idx="98">
                  <c:v>146.6</c:v>
                </c:pt>
                <c:pt idx="99">
                  <c:v>148.9</c:v>
                </c:pt>
                <c:pt idx="100">
                  <c:v>150.69999999999999</c:v>
                </c:pt>
                <c:pt idx="101">
                  <c:v>153.1</c:v>
                </c:pt>
                <c:pt idx="102">
                  <c:v>154</c:v>
                </c:pt>
                <c:pt idx="103">
                  <c:v>154</c:v>
                </c:pt>
                <c:pt idx="104">
                  <c:v>155.69999999999999</c:v>
                </c:pt>
                <c:pt idx="105">
                  <c:v>154.80000000000001</c:v>
                </c:pt>
                <c:pt idx="106">
                  <c:v>155.69999999999999</c:v>
                </c:pt>
                <c:pt idx="107">
                  <c:v>156.5</c:v>
                </c:pt>
                <c:pt idx="108">
                  <c:v>156.9</c:v>
                </c:pt>
                <c:pt idx="109">
                  <c:v>157.9</c:v>
                </c:pt>
                <c:pt idx="110">
                  <c:v>162.6</c:v>
                </c:pt>
                <c:pt idx="111">
                  <c:v>163</c:v>
                </c:pt>
                <c:pt idx="112">
                  <c:v>161.1</c:v>
                </c:pt>
                <c:pt idx="113">
                  <c:v>161.6</c:v>
                </c:pt>
                <c:pt idx="114">
                  <c:v>161.9</c:v>
                </c:pt>
                <c:pt idx="115">
                  <c:v>162.30000000000001</c:v>
                </c:pt>
                <c:pt idx="116">
                  <c:v>162.9</c:v>
                </c:pt>
                <c:pt idx="117">
                  <c:v>163</c:v>
                </c:pt>
                <c:pt idx="118">
                  <c:v>163.4</c:v>
                </c:pt>
                <c:pt idx="119">
                  <c:v>163.6</c:v>
                </c:pt>
                <c:pt idx="120">
                  <c:v>164.2</c:v>
                </c:pt>
                <c:pt idx="121">
                  <c:v>164.2</c:v>
                </c:pt>
                <c:pt idx="122">
                  <c:v>164.5</c:v>
                </c:pt>
                <c:pt idx="123">
                  <c:v>164.8</c:v>
                </c:pt>
              </c:numCache>
            </c:numRef>
          </c:val>
          <c:smooth val="0"/>
          <c:extLst>
            <c:ext xmlns:c16="http://schemas.microsoft.com/office/drawing/2014/chart" uri="{C3380CC4-5D6E-409C-BE32-E72D297353CC}">
              <c16:uniqueId val="{00000004-E7BA-449A-8397-37BB9081C16F}"/>
            </c:ext>
          </c:extLst>
        </c:ser>
        <c:ser>
          <c:idx val="5"/>
          <c:order val="5"/>
          <c:tx>
            <c:strRef>
              <c:f>Sheet7!$G$3</c:f>
              <c:strCache>
                <c:ptCount val="1"/>
                <c:pt idx="0">
                  <c:v>Average of Education</c:v>
                </c:pt>
              </c:strCache>
            </c:strRef>
          </c:tx>
          <c:spPr>
            <a:ln w="28575" cap="rnd">
              <a:solidFill>
                <a:schemeClr val="accent6"/>
              </a:solidFill>
              <a:round/>
            </a:ln>
            <a:effectLst/>
          </c:spPr>
          <c:marker>
            <c:symbol val="none"/>
          </c:marker>
          <c:cat>
            <c:strRef>
              <c:f>Sheet7!$A$4:$A$127</c:f>
              <c:strCache>
                <c:ptCount val="124"/>
                <c:pt idx="0">
                  <c:v>Jan-2013</c:v>
                </c:pt>
                <c:pt idx="1">
                  <c:v>Feb-2013</c:v>
                </c:pt>
                <c:pt idx="2">
                  <c:v>Mar-2013</c:v>
                </c:pt>
                <c:pt idx="3">
                  <c:v>Apr-2013</c:v>
                </c:pt>
                <c:pt idx="4">
                  <c:v>May-2013</c:v>
                </c:pt>
                <c:pt idx="5">
                  <c:v>Jun-2013</c:v>
                </c:pt>
                <c:pt idx="6">
                  <c:v>Jul-2013</c:v>
                </c:pt>
                <c:pt idx="7">
                  <c:v>Aug-2013</c:v>
                </c:pt>
                <c:pt idx="8">
                  <c:v>Sep-2013</c:v>
                </c:pt>
                <c:pt idx="9">
                  <c:v>Oct-2013</c:v>
                </c:pt>
                <c:pt idx="10">
                  <c:v>Nov-2013</c:v>
                </c:pt>
                <c:pt idx="11">
                  <c:v>Dec-2013</c:v>
                </c:pt>
                <c:pt idx="12">
                  <c:v>Jan-2014</c:v>
                </c:pt>
                <c:pt idx="13">
                  <c:v>Feb-2014</c:v>
                </c:pt>
                <c:pt idx="14">
                  <c:v>Mar-2014</c:v>
                </c:pt>
                <c:pt idx="15">
                  <c:v>Apr-2014</c:v>
                </c:pt>
                <c:pt idx="16">
                  <c:v>May-2014</c:v>
                </c:pt>
                <c:pt idx="17">
                  <c:v>Jun-2014</c:v>
                </c:pt>
                <c:pt idx="18">
                  <c:v>Jul-2014</c:v>
                </c:pt>
                <c:pt idx="19">
                  <c:v>Aug-2014</c:v>
                </c:pt>
                <c:pt idx="20">
                  <c:v>Sep-2014</c:v>
                </c:pt>
                <c:pt idx="21">
                  <c:v>Oct-2014</c:v>
                </c:pt>
                <c:pt idx="22">
                  <c:v>Nov-2014</c:v>
                </c:pt>
                <c:pt idx="23">
                  <c:v>Dec-2014</c:v>
                </c:pt>
                <c:pt idx="24">
                  <c:v>Jan-2015</c:v>
                </c:pt>
                <c:pt idx="25">
                  <c:v>Feb-2015</c:v>
                </c:pt>
                <c:pt idx="26">
                  <c:v>Mar-2015</c:v>
                </c:pt>
                <c:pt idx="27">
                  <c:v>Apr-2015</c:v>
                </c:pt>
                <c:pt idx="28">
                  <c:v>May-2015</c:v>
                </c:pt>
                <c:pt idx="29">
                  <c:v>Jun-2015</c:v>
                </c:pt>
                <c:pt idx="30">
                  <c:v>Jul-2015</c:v>
                </c:pt>
                <c:pt idx="31">
                  <c:v>Aug-2015</c:v>
                </c:pt>
                <c:pt idx="32">
                  <c:v>Sep-2015</c:v>
                </c:pt>
                <c:pt idx="33">
                  <c:v>Oct-2015</c:v>
                </c:pt>
                <c:pt idx="34">
                  <c:v>Nov-2015</c:v>
                </c:pt>
                <c:pt idx="35">
                  <c:v>Dec-2015</c:v>
                </c:pt>
                <c:pt idx="36">
                  <c:v>Jan-2016</c:v>
                </c:pt>
                <c:pt idx="37">
                  <c:v>Feb-2016</c:v>
                </c:pt>
                <c:pt idx="38">
                  <c:v>Mar-2016</c:v>
                </c:pt>
                <c:pt idx="39">
                  <c:v>Apr-2016</c:v>
                </c:pt>
                <c:pt idx="40">
                  <c:v>May-2016</c:v>
                </c:pt>
                <c:pt idx="41">
                  <c:v>Jun-2016</c:v>
                </c:pt>
                <c:pt idx="42">
                  <c:v>Jul-2016</c:v>
                </c:pt>
                <c:pt idx="43">
                  <c:v>Aug-2016</c:v>
                </c:pt>
                <c:pt idx="44">
                  <c:v>Sep-2016</c:v>
                </c:pt>
                <c:pt idx="45">
                  <c:v>Oct-2016</c:v>
                </c:pt>
                <c:pt idx="46">
                  <c:v>Nov-2016</c:v>
                </c:pt>
                <c:pt idx="47">
                  <c:v>Dec-2016</c:v>
                </c:pt>
                <c:pt idx="48">
                  <c:v>Jan-2017</c:v>
                </c:pt>
                <c:pt idx="49">
                  <c:v>Feb-2017</c:v>
                </c:pt>
                <c:pt idx="50">
                  <c:v>Mar-2017</c:v>
                </c:pt>
                <c:pt idx="51">
                  <c:v>Apr-2017</c:v>
                </c:pt>
                <c:pt idx="52">
                  <c:v>May-2017</c:v>
                </c:pt>
                <c:pt idx="53">
                  <c:v>Jun-2017</c:v>
                </c:pt>
                <c:pt idx="54">
                  <c:v>Jul-2017</c:v>
                </c:pt>
                <c:pt idx="55">
                  <c:v>Aug-2017</c:v>
                </c:pt>
                <c:pt idx="56">
                  <c:v>Sep-2017</c:v>
                </c:pt>
                <c:pt idx="57">
                  <c:v>Oct-2017</c:v>
                </c:pt>
                <c:pt idx="58">
                  <c:v>Nov-2017</c:v>
                </c:pt>
                <c:pt idx="59">
                  <c:v>Dec-2017</c:v>
                </c:pt>
                <c:pt idx="60">
                  <c:v>Jan-2018</c:v>
                </c:pt>
                <c:pt idx="61">
                  <c:v>Feb-2018</c:v>
                </c:pt>
                <c:pt idx="62">
                  <c:v>Mar-2018</c:v>
                </c:pt>
                <c:pt idx="63">
                  <c:v>Apr-2018</c:v>
                </c:pt>
                <c:pt idx="64">
                  <c:v>May-2018</c:v>
                </c:pt>
                <c:pt idx="65">
                  <c:v>Jun-2018</c:v>
                </c:pt>
                <c:pt idx="66">
                  <c:v>Jul-2018</c:v>
                </c:pt>
                <c:pt idx="67">
                  <c:v>Aug-2018</c:v>
                </c:pt>
                <c:pt idx="68">
                  <c:v>Sep-2018</c:v>
                </c:pt>
                <c:pt idx="69">
                  <c:v>Oct-2018</c:v>
                </c:pt>
                <c:pt idx="70">
                  <c:v>Nov-2018</c:v>
                </c:pt>
                <c:pt idx="71">
                  <c:v>Dec-2018</c:v>
                </c:pt>
                <c:pt idx="72">
                  <c:v>Jan-2019</c:v>
                </c:pt>
                <c:pt idx="73">
                  <c:v>Feb-2019</c:v>
                </c:pt>
                <c:pt idx="74">
                  <c:v>Mar-2019</c:v>
                </c:pt>
                <c:pt idx="75">
                  <c:v>May-2019</c:v>
                </c:pt>
                <c:pt idx="76">
                  <c:v>Jun-2019</c:v>
                </c:pt>
                <c:pt idx="77">
                  <c:v>Jul-2019</c:v>
                </c:pt>
                <c:pt idx="78">
                  <c:v>Aug-2019</c:v>
                </c:pt>
                <c:pt idx="79">
                  <c:v>Sep-2019</c:v>
                </c:pt>
                <c:pt idx="80">
                  <c:v>Oct-2019</c:v>
                </c:pt>
                <c:pt idx="81">
                  <c:v>Nov-2019</c:v>
                </c:pt>
                <c:pt idx="82">
                  <c:v>Dec-2019</c:v>
                </c:pt>
                <c:pt idx="83">
                  <c:v>Jan-2020</c:v>
                </c:pt>
                <c:pt idx="84">
                  <c:v>Feb-2020</c:v>
                </c:pt>
                <c:pt idx="85">
                  <c:v>Mar-2020</c:v>
                </c:pt>
                <c:pt idx="86">
                  <c:v>Apr-2020</c:v>
                </c:pt>
                <c:pt idx="87">
                  <c:v>May-2020</c:v>
                </c:pt>
                <c:pt idx="88">
                  <c:v>Jun-2020</c:v>
                </c:pt>
                <c:pt idx="89">
                  <c:v>Jul-2020</c:v>
                </c:pt>
                <c:pt idx="90">
                  <c:v>Aug-2020</c:v>
                </c:pt>
                <c:pt idx="91">
                  <c:v>Sep-2020</c:v>
                </c:pt>
                <c:pt idx="92">
                  <c:v>Oct-2020</c:v>
                </c:pt>
                <c:pt idx="93">
                  <c:v>Nov-2020</c:v>
                </c:pt>
                <c:pt idx="94">
                  <c:v>Dec-2020</c:v>
                </c:pt>
                <c:pt idx="95">
                  <c:v>Jan-2021</c:v>
                </c:pt>
                <c:pt idx="96">
                  <c:v>Feb-2021</c:v>
                </c:pt>
                <c:pt idx="97">
                  <c:v>Mar-2021</c:v>
                </c:pt>
                <c:pt idx="98">
                  <c:v>Apr-2021</c:v>
                </c:pt>
                <c:pt idx="99">
                  <c:v>May-2021</c:v>
                </c:pt>
                <c:pt idx="100">
                  <c:v>Jun-2021</c:v>
                </c:pt>
                <c:pt idx="101">
                  <c:v>Jul-2021</c:v>
                </c:pt>
                <c:pt idx="102">
                  <c:v>Aug-2021</c:v>
                </c:pt>
                <c:pt idx="103">
                  <c:v>Sep-2021</c:v>
                </c:pt>
                <c:pt idx="104">
                  <c:v>Oct-2021</c:v>
                </c:pt>
                <c:pt idx="105">
                  <c:v>Nov-2021</c:v>
                </c:pt>
                <c:pt idx="106">
                  <c:v>Dec-2021</c:v>
                </c:pt>
                <c:pt idx="107">
                  <c:v>Jan-2022</c:v>
                </c:pt>
                <c:pt idx="108">
                  <c:v>Feb-2022</c:v>
                </c:pt>
                <c:pt idx="109">
                  <c:v>Mar-2022</c:v>
                </c:pt>
                <c:pt idx="110">
                  <c:v>Apr-2022</c:v>
                </c:pt>
                <c:pt idx="111">
                  <c:v>May-2022</c:v>
                </c:pt>
                <c:pt idx="112">
                  <c:v>Jun-2022</c:v>
                </c:pt>
                <c:pt idx="113">
                  <c:v>Jul-2022</c:v>
                </c:pt>
                <c:pt idx="114">
                  <c:v>Aug-2022</c:v>
                </c:pt>
                <c:pt idx="115">
                  <c:v>Sep-2022</c:v>
                </c:pt>
                <c:pt idx="116">
                  <c:v>Oct-2022</c:v>
                </c:pt>
                <c:pt idx="117">
                  <c:v>Nov-2022</c:v>
                </c:pt>
                <c:pt idx="118">
                  <c:v>Dec-2022</c:v>
                </c:pt>
                <c:pt idx="119">
                  <c:v>Jan-2023</c:v>
                </c:pt>
                <c:pt idx="120">
                  <c:v>Feb-2023</c:v>
                </c:pt>
                <c:pt idx="121">
                  <c:v>Mar-2023</c:v>
                </c:pt>
                <c:pt idx="122">
                  <c:v>Apr-2023</c:v>
                </c:pt>
                <c:pt idx="123">
                  <c:v>May-2023</c:v>
                </c:pt>
              </c:strCache>
            </c:strRef>
          </c:cat>
          <c:val>
            <c:numRef>
              <c:f>Sheet7!$G$4:$G$127</c:f>
              <c:numCache>
                <c:formatCode>0.00</c:formatCode>
                <c:ptCount val="124"/>
                <c:pt idx="0">
                  <c:v>103.6</c:v>
                </c:pt>
                <c:pt idx="1">
                  <c:v>103.9</c:v>
                </c:pt>
                <c:pt idx="2">
                  <c:v>104</c:v>
                </c:pt>
                <c:pt idx="3">
                  <c:v>105</c:v>
                </c:pt>
                <c:pt idx="4">
                  <c:v>105.6</c:v>
                </c:pt>
                <c:pt idx="5">
                  <c:v>107.4</c:v>
                </c:pt>
                <c:pt idx="6">
                  <c:v>109.1</c:v>
                </c:pt>
                <c:pt idx="7">
                  <c:v>109.9</c:v>
                </c:pt>
                <c:pt idx="8">
                  <c:v>110.6</c:v>
                </c:pt>
                <c:pt idx="9">
                  <c:v>110.8</c:v>
                </c:pt>
                <c:pt idx="10">
                  <c:v>111.2</c:v>
                </c:pt>
                <c:pt idx="11">
                  <c:v>111.5</c:v>
                </c:pt>
                <c:pt idx="12">
                  <c:v>111.6</c:v>
                </c:pt>
                <c:pt idx="13">
                  <c:v>111.8</c:v>
                </c:pt>
                <c:pt idx="14">
                  <c:v>112</c:v>
                </c:pt>
                <c:pt idx="15">
                  <c:v>112.7</c:v>
                </c:pt>
                <c:pt idx="16">
                  <c:v>113</c:v>
                </c:pt>
                <c:pt idx="17">
                  <c:v>114.8</c:v>
                </c:pt>
                <c:pt idx="18">
                  <c:v>116.8</c:v>
                </c:pt>
                <c:pt idx="19">
                  <c:v>118</c:v>
                </c:pt>
                <c:pt idx="20">
                  <c:v>118.6</c:v>
                </c:pt>
                <c:pt idx="21">
                  <c:v>118.8</c:v>
                </c:pt>
                <c:pt idx="22">
                  <c:v>119</c:v>
                </c:pt>
                <c:pt idx="23">
                  <c:v>119.5</c:v>
                </c:pt>
                <c:pt idx="24">
                  <c:v>119.7</c:v>
                </c:pt>
                <c:pt idx="25">
                  <c:v>119.7</c:v>
                </c:pt>
                <c:pt idx="26">
                  <c:v>120.1</c:v>
                </c:pt>
                <c:pt idx="27">
                  <c:v>121</c:v>
                </c:pt>
                <c:pt idx="28">
                  <c:v>121.4</c:v>
                </c:pt>
                <c:pt idx="29">
                  <c:v>123.1</c:v>
                </c:pt>
                <c:pt idx="30">
                  <c:v>124.4</c:v>
                </c:pt>
                <c:pt idx="31">
                  <c:v>125.1</c:v>
                </c:pt>
                <c:pt idx="32">
                  <c:v>125.7</c:v>
                </c:pt>
                <c:pt idx="33">
                  <c:v>125.9</c:v>
                </c:pt>
                <c:pt idx="34">
                  <c:v>126.3</c:v>
                </c:pt>
                <c:pt idx="35">
                  <c:v>126.2</c:v>
                </c:pt>
                <c:pt idx="36">
                  <c:v>126.3</c:v>
                </c:pt>
                <c:pt idx="37">
                  <c:v>126.6</c:v>
                </c:pt>
                <c:pt idx="38">
                  <c:v>126.9</c:v>
                </c:pt>
                <c:pt idx="39">
                  <c:v>127.7</c:v>
                </c:pt>
                <c:pt idx="40">
                  <c:v>128.5</c:v>
                </c:pt>
                <c:pt idx="41">
                  <c:v>129.69999999999999</c:v>
                </c:pt>
                <c:pt idx="42">
                  <c:v>130.80000000000001</c:v>
                </c:pt>
                <c:pt idx="43">
                  <c:v>131.69999999999999</c:v>
                </c:pt>
                <c:pt idx="44">
                  <c:v>131.80000000000001</c:v>
                </c:pt>
                <c:pt idx="45">
                  <c:v>132.4</c:v>
                </c:pt>
                <c:pt idx="46">
                  <c:v>132.80000000000001</c:v>
                </c:pt>
                <c:pt idx="47">
                  <c:v>133.1</c:v>
                </c:pt>
                <c:pt idx="48">
                  <c:v>133.30000000000001</c:v>
                </c:pt>
                <c:pt idx="49">
                  <c:v>133.4</c:v>
                </c:pt>
                <c:pt idx="50">
                  <c:v>133.80000000000001</c:v>
                </c:pt>
                <c:pt idx="51">
                  <c:v>134.5</c:v>
                </c:pt>
                <c:pt idx="52">
                  <c:v>134.80000000000001</c:v>
                </c:pt>
                <c:pt idx="53">
                  <c:v>135.4</c:v>
                </c:pt>
                <c:pt idx="54">
                  <c:v>136.80000000000001</c:v>
                </c:pt>
                <c:pt idx="55">
                  <c:v>137.6</c:v>
                </c:pt>
                <c:pt idx="56">
                  <c:v>137.4</c:v>
                </c:pt>
                <c:pt idx="57">
                  <c:v>137.9</c:v>
                </c:pt>
                <c:pt idx="58">
                  <c:v>138.6</c:v>
                </c:pt>
                <c:pt idx="59">
                  <c:v>138.5</c:v>
                </c:pt>
                <c:pt idx="60">
                  <c:v>139</c:v>
                </c:pt>
                <c:pt idx="61">
                  <c:v>139</c:v>
                </c:pt>
                <c:pt idx="62">
                  <c:v>139.80000000000001</c:v>
                </c:pt>
                <c:pt idx="63">
                  <c:v>141.4</c:v>
                </c:pt>
                <c:pt idx="64">
                  <c:v>142.1</c:v>
                </c:pt>
                <c:pt idx="65">
                  <c:v>142.80000000000001</c:v>
                </c:pt>
                <c:pt idx="66">
                  <c:v>144.69999999999999</c:v>
                </c:pt>
                <c:pt idx="67">
                  <c:v>146</c:v>
                </c:pt>
                <c:pt idx="68">
                  <c:v>146.19999999999999</c:v>
                </c:pt>
                <c:pt idx="69">
                  <c:v>147.80000000000001</c:v>
                </c:pt>
                <c:pt idx="70">
                  <c:v>147.80000000000001</c:v>
                </c:pt>
                <c:pt idx="71">
                  <c:v>150.1</c:v>
                </c:pt>
                <c:pt idx="72">
                  <c:v>150.19999999999999</c:v>
                </c:pt>
                <c:pt idx="73">
                  <c:v>150.30000000000001</c:v>
                </c:pt>
                <c:pt idx="74">
                  <c:v>150.30000000000001</c:v>
                </c:pt>
                <c:pt idx="75">
                  <c:v>151.6</c:v>
                </c:pt>
                <c:pt idx="76">
                  <c:v>152.5</c:v>
                </c:pt>
                <c:pt idx="77">
                  <c:v>154</c:v>
                </c:pt>
                <c:pt idx="78">
                  <c:v>154.9</c:v>
                </c:pt>
                <c:pt idx="79">
                  <c:v>155.19999999999999</c:v>
                </c:pt>
                <c:pt idx="80">
                  <c:v>155.4</c:v>
                </c:pt>
                <c:pt idx="81">
                  <c:v>155.5</c:v>
                </c:pt>
                <c:pt idx="82">
                  <c:v>155.69999999999999</c:v>
                </c:pt>
                <c:pt idx="83">
                  <c:v>156.1</c:v>
                </c:pt>
                <c:pt idx="84">
                  <c:v>156.19999999999999</c:v>
                </c:pt>
                <c:pt idx="85">
                  <c:v>156.1</c:v>
                </c:pt>
                <c:pt idx="86">
                  <c:v>156.19999999999999</c:v>
                </c:pt>
                <c:pt idx="87">
                  <c:v>156.27000000000001</c:v>
                </c:pt>
                <c:pt idx="88">
                  <c:v>156.4</c:v>
                </c:pt>
                <c:pt idx="89">
                  <c:v>156.4</c:v>
                </c:pt>
                <c:pt idx="90">
                  <c:v>158.5</c:v>
                </c:pt>
                <c:pt idx="91">
                  <c:v>157.5</c:v>
                </c:pt>
                <c:pt idx="92">
                  <c:v>158.5</c:v>
                </c:pt>
                <c:pt idx="93">
                  <c:v>158.6</c:v>
                </c:pt>
                <c:pt idx="94">
                  <c:v>159.4</c:v>
                </c:pt>
                <c:pt idx="95">
                  <c:v>159.19999999999999</c:v>
                </c:pt>
                <c:pt idx="96">
                  <c:v>159.5</c:v>
                </c:pt>
                <c:pt idx="97">
                  <c:v>160.19999999999999</c:v>
                </c:pt>
                <c:pt idx="98">
                  <c:v>160.30000000000001</c:v>
                </c:pt>
                <c:pt idx="99">
                  <c:v>161.19999999999999</c:v>
                </c:pt>
                <c:pt idx="100">
                  <c:v>161.69999999999999</c:v>
                </c:pt>
                <c:pt idx="101">
                  <c:v>163.19999999999999</c:v>
                </c:pt>
                <c:pt idx="102">
                  <c:v>163.80000000000001</c:v>
                </c:pt>
                <c:pt idx="103">
                  <c:v>163.69999999999999</c:v>
                </c:pt>
                <c:pt idx="104">
                  <c:v>163.9</c:v>
                </c:pt>
                <c:pt idx="105">
                  <c:v>164.3</c:v>
                </c:pt>
                <c:pt idx="106">
                  <c:v>164.4</c:v>
                </c:pt>
                <c:pt idx="107">
                  <c:v>164.7</c:v>
                </c:pt>
                <c:pt idx="108">
                  <c:v>165.4</c:v>
                </c:pt>
                <c:pt idx="109">
                  <c:v>166</c:v>
                </c:pt>
                <c:pt idx="110">
                  <c:v>166.9</c:v>
                </c:pt>
                <c:pt idx="111">
                  <c:v>167.9</c:v>
                </c:pt>
                <c:pt idx="112">
                  <c:v>169</c:v>
                </c:pt>
                <c:pt idx="113">
                  <c:v>171.4</c:v>
                </c:pt>
                <c:pt idx="114">
                  <c:v>172.3</c:v>
                </c:pt>
                <c:pt idx="115">
                  <c:v>173.1</c:v>
                </c:pt>
                <c:pt idx="116">
                  <c:v>173.4</c:v>
                </c:pt>
                <c:pt idx="117">
                  <c:v>173.7</c:v>
                </c:pt>
                <c:pt idx="118">
                  <c:v>174.1</c:v>
                </c:pt>
                <c:pt idx="119">
                  <c:v>174.3</c:v>
                </c:pt>
                <c:pt idx="120">
                  <c:v>175</c:v>
                </c:pt>
                <c:pt idx="121">
                  <c:v>175</c:v>
                </c:pt>
                <c:pt idx="122">
                  <c:v>176.4</c:v>
                </c:pt>
                <c:pt idx="123">
                  <c:v>177.1</c:v>
                </c:pt>
              </c:numCache>
            </c:numRef>
          </c:val>
          <c:smooth val="0"/>
          <c:extLst>
            <c:ext xmlns:c16="http://schemas.microsoft.com/office/drawing/2014/chart" uri="{C3380CC4-5D6E-409C-BE32-E72D297353CC}">
              <c16:uniqueId val="{00000005-E7BA-449A-8397-37BB9081C16F}"/>
            </c:ext>
          </c:extLst>
        </c:ser>
        <c:dLbls>
          <c:showLegendKey val="0"/>
          <c:showVal val="0"/>
          <c:showCatName val="0"/>
          <c:showSerName val="0"/>
          <c:showPercent val="0"/>
          <c:showBubbleSize val="0"/>
        </c:dLbls>
        <c:smooth val="0"/>
        <c:axId val="895438576"/>
        <c:axId val="895434256"/>
      </c:lineChart>
      <c:catAx>
        <c:axId val="895438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434256"/>
        <c:crosses val="autoZero"/>
        <c:auto val="1"/>
        <c:lblAlgn val="ctr"/>
        <c:lblOffset val="100"/>
        <c:noMultiLvlLbl val="0"/>
      </c:catAx>
      <c:valAx>
        <c:axId val="8954342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43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Rural + Urban CPI YoY Inflation Trend (2017–2023)</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Question_2!$D$3</c:f>
              <c:strCache>
                <c:ptCount val="1"/>
                <c:pt idx="0">
                  <c:v>Y-O-Y Growth(%)</c:v>
                </c:pt>
              </c:strCache>
            </c:strRef>
          </c:tx>
          <c:spPr>
            <a:ln w="28575" cap="rnd">
              <a:solidFill>
                <a:schemeClr val="accent1"/>
              </a:solidFill>
              <a:round/>
            </a:ln>
            <a:effectLst/>
          </c:spPr>
          <c:marker>
            <c:symbol val="none"/>
          </c:marker>
          <c:dLbls>
            <c:dLbl>
              <c:idx val="5"/>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2-4676-4FF3-BF36-408540846BA2}"/>
                </c:ext>
              </c:extLst>
            </c:dLbl>
            <c:dLbl>
              <c:idx val="6"/>
              <c:layout>
                <c:manualLayout>
                  <c:x val="-7.6554836927682345E-3"/>
                  <c:y val="-1.2649865553244613E-2"/>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76-4FF3-BF36-408540846B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Question_2!$C$4:$C$10</c:f>
              <c:numCache>
                <c:formatCode>General</c:formatCode>
                <c:ptCount val="7"/>
                <c:pt idx="0">
                  <c:v>2017</c:v>
                </c:pt>
                <c:pt idx="1">
                  <c:v>2018</c:v>
                </c:pt>
                <c:pt idx="2">
                  <c:v>2019</c:v>
                </c:pt>
                <c:pt idx="3">
                  <c:v>2020</c:v>
                </c:pt>
                <c:pt idx="4">
                  <c:v>2021</c:v>
                </c:pt>
                <c:pt idx="5">
                  <c:v>2022</c:v>
                </c:pt>
                <c:pt idx="6">
                  <c:v>2023</c:v>
                </c:pt>
              </c:numCache>
            </c:numRef>
          </c:cat>
          <c:val>
            <c:numRef>
              <c:f>Question_2!$D$4:$D$10</c:f>
              <c:numCache>
                <c:formatCode>0.00%</c:formatCode>
                <c:ptCount val="7"/>
                <c:pt idx="0">
                  <c:v>3.3281733746129902E-2</c:v>
                </c:pt>
                <c:pt idx="1">
                  <c:v>3.9513108614232476E-2</c:v>
                </c:pt>
                <c:pt idx="2">
                  <c:v>3.8961038961039161E-2</c:v>
                </c:pt>
                <c:pt idx="3">
                  <c:v>6.0119798234552047E-2</c:v>
                </c:pt>
                <c:pt idx="4">
                  <c:v>5.6318831098026302E-2</c:v>
                </c:pt>
                <c:pt idx="5">
                  <c:v>6.6219354838709665E-2</c:v>
                </c:pt>
                <c:pt idx="6">
                  <c:v>3.1774615161196632E-2</c:v>
                </c:pt>
              </c:numCache>
            </c:numRef>
          </c:val>
          <c:smooth val="0"/>
          <c:extLst>
            <c:ext xmlns:c16="http://schemas.microsoft.com/office/drawing/2014/chart" uri="{C3380CC4-5D6E-409C-BE32-E72D297353CC}">
              <c16:uniqueId val="{00000000-4676-4FF3-BF36-408540846BA2}"/>
            </c:ext>
          </c:extLst>
        </c:ser>
        <c:dLbls>
          <c:dLblPos val="t"/>
          <c:showLegendKey val="0"/>
          <c:showVal val="1"/>
          <c:showCatName val="0"/>
          <c:showSerName val="0"/>
          <c:showPercent val="0"/>
          <c:showBubbleSize val="0"/>
        </c:dLbls>
        <c:smooth val="0"/>
        <c:axId val="914412719"/>
        <c:axId val="914414159"/>
      </c:lineChart>
      <c:catAx>
        <c:axId val="91441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414159"/>
        <c:crosses val="autoZero"/>
        <c:auto val="1"/>
        <c:lblAlgn val="ctr"/>
        <c:lblOffset val="100"/>
        <c:noMultiLvlLbl val="0"/>
      </c:catAx>
      <c:valAx>
        <c:axId val="9144141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4127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Food Inflation Trend — Jun 2022 to May 2023</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Question_3!$G$4</c:f>
              <c:strCache>
                <c:ptCount val="1"/>
                <c:pt idx="0">
                  <c:v>YoY Food Inflation %</c:v>
                </c:pt>
              </c:strCache>
            </c:strRef>
          </c:tx>
          <c:spPr>
            <a:ln w="28575" cap="rnd">
              <a:solidFill>
                <a:schemeClr val="accent1"/>
              </a:solidFill>
              <a:round/>
            </a:ln>
            <a:effectLst/>
          </c:spPr>
          <c:marker>
            <c:symbol val="none"/>
          </c:marker>
          <c:dLbls>
            <c:dLbl>
              <c:idx val="3"/>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1-3FE2-4346-9FF2-FFB31F3E4420}"/>
                </c:ext>
              </c:extLst>
            </c:dLbl>
            <c:dLbl>
              <c:idx val="11"/>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2-3FE2-4346-9FF2-FFB31F3E44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Question_3!$D$5:$D$16</c:f>
              <c:numCache>
                <c:formatCode>mmm/yyyy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Question_3!$G$5:$G$16</c:f>
              <c:numCache>
                <c:formatCode>0.00%</c:formatCode>
                <c:ptCount val="12"/>
                <c:pt idx="0">
                  <c:v>5.8692233551463469E-2</c:v>
                </c:pt>
                <c:pt idx="1">
                  <c:v>5.4614220877458264E-2</c:v>
                </c:pt>
                <c:pt idx="2">
                  <c:v>5.808897876643071E-2</c:v>
                </c:pt>
                <c:pt idx="3">
                  <c:v>6.3245702730030162E-2</c:v>
                </c:pt>
                <c:pt idx="4">
                  <c:v>5.4736527542583957E-2</c:v>
                </c:pt>
                <c:pt idx="5">
                  <c:v>4.6482908516103594E-2</c:v>
                </c:pt>
                <c:pt idx="6">
                  <c:v>4.7100909226412302E-2</c:v>
                </c:pt>
                <c:pt idx="7">
                  <c:v>5.9165081589748869E-2</c:v>
                </c:pt>
                <c:pt idx="8">
                  <c:v>5.3684210526315557E-2</c:v>
                </c:pt>
                <c:pt idx="9">
                  <c:v>4.286139497966035E-2</c:v>
                </c:pt>
                <c:pt idx="10">
                  <c:v>3.3374113041350739E-2</c:v>
                </c:pt>
                <c:pt idx="11">
                  <c:v>3.0112316034082154E-2</c:v>
                </c:pt>
              </c:numCache>
            </c:numRef>
          </c:val>
          <c:smooth val="0"/>
          <c:extLst>
            <c:ext xmlns:c16="http://schemas.microsoft.com/office/drawing/2014/chart" uri="{C3380CC4-5D6E-409C-BE32-E72D297353CC}">
              <c16:uniqueId val="{00000000-3FE2-4346-9FF2-FFB31F3E4420}"/>
            </c:ext>
          </c:extLst>
        </c:ser>
        <c:dLbls>
          <c:dLblPos val="t"/>
          <c:showLegendKey val="0"/>
          <c:showVal val="1"/>
          <c:showCatName val="0"/>
          <c:showSerName val="0"/>
          <c:showPercent val="0"/>
          <c:showBubbleSize val="0"/>
        </c:dLbls>
        <c:smooth val="0"/>
        <c:axId val="427013119"/>
        <c:axId val="427011679"/>
      </c:lineChart>
      <c:dateAx>
        <c:axId val="427013119"/>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011679"/>
        <c:crosses val="autoZero"/>
        <c:auto val="1"/>
        <c:lblOffset val="100"/>
        <c:baseTimeUnit val="months"/>
      </c:dateAx>
      <c:valAx>
        <c:axId val="4270116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01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Month-on-Month Food Inflation — Jun 2022 to May 2023</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Question_3!$F$4</c:f>
              <c:strCache>
                <c:ptCount val="1"/>
                <c:pt idx="0">
                  <c:v>MoM Change %</c:v>
                </c:pt>
              </c:strCache>
            </c:strRef>
          </c:tx>
          <c:spPr>
            <a:ln w="28575" cap="rnd">
              <a:solidFill>
                <a:schemeClr val="accent1"/>
              </a:solidFill>
              <a:round/>
            </a:ln>
            <a:effectLst/>
          </c:spPr>
          <c:marker>
            <c:symbol val="none"/>
          </c:marker>
          <c:dLbls>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1-3F6D-4007-A946-4AD5E8CDA366}"/>
                </c:ext>
              </c:extLst>
            </c:dLbl>
            <c:dLbl>
              <c:idx val="8"/>
              <c:layout>
                <c:manualLayout>
                  <c:x val="-5.9194444444444445E-2"/>
                  <c:y val="2.6139889924320994E-2"/>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6D-4007-A946-4AD5E8CDA3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Question_3!$D$5:$D$16</c:f>
              <c:numCache>
                <c:formatCode>mmm/yyyy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Question_3!$F$5:$F$16</c:f>
              <c:numCache>
                <c:formatCode>0.00%</c:formatCode>
                <c:ptCount val="12"/>
                <c:pt idx="0">
                  <c:v>1.0360185902400953E-2</c:v>
                </c:pt>
                <c:pt idx="1">
                  <c:v>2.0603737422137947E-3</c:v>
                </c:pt>
                <c:pt idx="2">
                  <c:v>7.6507435566397497E-4</c:v>
                </c:pt>
                <c:pt idx="3">
                  <c:v>4.873620335419826E-3</c:v>
                </c:pt>
                <c:pt idx="4">
                  <c:v>6.9421330417005489E-3</c:v>
                </c:pt>
                <c:pt idx="5">
                  <c:v>3.7776833356928385E-4</c:v>
                </c:pt>
                <c:pt idx="6">
                  <c:v>-5.1923530800094264E-3</c:v>
                </c:pt>
                <c:pt idx="7">
                  <c:v>4.0332147093713466E-3</c:v>
                </c:pt>
                <c:pt idx="8">
                  <c:v>-6.5689981096409555E-3</c:v>
                </c:pt>
                <c:pt idx="9">
                  <c:v>4.7571476142760361E-5</c:v>
                </c:pt>
                <c:pt idx="10">
                  <c:v>4.5190752544954638E-3</c:v>
                </c:pt>
                <c:pt idx="11">
                  <c:v>7.6241890420041258E-3</c:v>
                </c:pt>
              </c:numCache>
            </c:numRef>
          </c:val>
          <c:smooth val="0"/>
          <c:extLst>
            <c:ext xmlns:c16="http://schemas.microsoft.com/office/drawing/2014/chart" uri="{C3380CC4-5D6E-409C-BE32-E72D297353CC}">
              <c16:uniqueId val="{00000000-3F6D-4007-A946-4AD5E8CDA366}"/>
            </c:ext>
          </c:extLst>
        </c:ser>
        <c:dLbls>
          <c:dLblPos val="t"/>
          <c:showLegendKey val="0"/>
          <c:showVal val="1"/>
          <c:showCatName val="0"/>
          <c:showSerName val="0"/>
          <c:showPercent val="0"/>
          <c:showBubbleSize val="0"/>
        </c:dLbls>
        <c:smooth val="0"/>
        <c:axId val="691497455"/>
        <c:axId val="691494095"/>
      </c:lineChart>
      <c:dateAx>
        <c:axId val="691497455"/>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94095"/>
        <c:crosses val="autoZero"/>
        <c:auto val="1"/>
        <c:lblOffset val="100"/>
        <c:baseTimeUnit val="months"/>
      </c:dateAx>
      <c:valAx>
        <c:axId val="691494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9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t>Change in Food CPI Index (Index Points)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tx>
            <c:strRef>
              <c:f>Question_3!$O$54</c:f>
              <c:strCache>
                <c:ptCount val="1"/>
                <c:pt idx="0">
                  <c:v>Absolute Change</c:v>
                </c:pt>
              </c:strCache>
            </c:strRef>
          </c:tx>
          <c:spPr>
            <a:solidFill>
              <a:schemeClr val="accent1"/>
            </a:solidFill>
            <a:ln>
              <a:noFill/>
            </a:ln>
            <a:effectLst/>
          </c:spPr>
          <c:invertIfNegative val="0"/>
          <c:dLbls>
            <c:dLbl>
              <c:idx val="0"/>
              <c:spPr>
                <a:solidFill>
                  <a:srgbClr val="92D050"/>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4C7A-4897-A690-54FA29E25AA0}"/>
                </c:ext>
              </c:extLst>
            </c:dLbl>
            <c:dLbl>
              <c:idx val="11"/>
              <c:spPr>
                <a:solidFill>
                  <a:srgbClr val="FF0000"/>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4C7A-4897-A690-54FA29E25AA0}"/>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Question_3!$N$55:$N$66</c:f>
              <c:strCache>
                <c:ptCount val="12"/>
                <c:pt idx="0">
                  <c:v>Spices</c:v>
                </c:pt>
                <c:pt idx="1">
                  <c:v>Cereals and products</c:v>
                </c:pt>
                <c:pt idx="2">
                  <c:v>Milk and products</c:v>
                </c:pt>
                <c:pt idx="3">
                  <c:v>Pulses and products</c:v>
                </c:pt>
                <c:pt idx="4">
                  <c:v>Prepared meals, snacks, sweets etc.</c:v>
                </c:pt>
                <c:pt idx="5">
                  <c:v>Non-alcoholic beverages</c:v>
                </c:pt>
                <c:pt idx="6">
                  <c:v>Fruits</c:v>
                </c:pt>
                <c:pt idx="7">
                  <c:v>Sugar and Confectionery</c:v>
                </c:pt>
                <c:pt idx="8">
                  <c:v>Egg</c:v>
                </c:pt>
                <c:pt idx="9">
                  <c:v>Meat and fish</c:v>
                </c:pt>
                <c:pt idx="10">
                  <c:v>Vegetables</c:v>
                </c:pt>
                <c:pt idx="11">
                  <c:v>Oils and fats</c:v>
                </c:pt>
              </c:strCache>
            </c:strRef>
          </c:cat>
          <c:val>
            <c:numRef>
              <c:f>Question_3!$O$55:$O$66</c:f>
              <c:numCache>
                <c:formatCode>0</c:formatCode>
                <c:ptCount val="12"/>
                <c:pt idx="0" formatCode="General">
                  <c:v>31</c:v>
                </c:pt>
                <c:pt idx="1">
                  <c:v>19</c:v>
                </c:pt>
                <c:pt idx="2" formatCode="General">
                  <c:v>14</c:v>
                </c:pt>
                <c:pt idx="3" formatCode="General">
                  <c:v>11</c:v>
                </c:pt>
                <c:pt idx="4" formatCode="General">
                  <c:v>10</c:v>
                </c:pt>
                <c:pt idx="5" formatCode="General">
                  <c:v>6</c:v>
                </c:pt>
                <c:pt idx="6" formatCode="General">
                  <c:v>3</c:v>
                </c:pt>
                <c:pt idx="7" formatCode="General">
                  <c:v>3</c:v>
                </c:pt>
                <c:pt idx="8" formatCode="General">
                  <c:v>2</c:v>
                </c:pt>
                <c:pt idx="9" formatCode="General">
                  <c:v>-5</c:v>
                </c:pt>
                <c:pt idx="10" formatCode="General">
                  <c:v>-21</c:v>
                </c:pt>
                <c:pt idx="11" formatCode="General">
                  <c:v>-31</c:v>
                </c:pt>
              </c:numCache>
            </c:numRef>
          </c:val>
          <c:extLst>
            <c:ext xmlns:c16="http://schemas.microsoft.com/office/drawing/2014/chart" uri="{C3380CC4-5D6E-409C-BE32-E72D297353CC}">
              <c16:uniqueId val="{00000000-4C7A-4897-A690-54FA29E25AA0}"/>
            </c:ext>
          </c:extLst>
        </c:ser>
        <c:dLbls>
          <c:dLblPos val="outEnd"/>
          <c:showLegendKey val="0"/>
          <c:showVal val="1"/>
          <c:showCatName val="0"/>
          <c:showSerName val="0"/>
          <c:showPercent val="0"/>
          <c:showBubbleSize val="0"/>
        </c:dLbls>
        <c:gapWidth val="180"/>
        <c:axId val="1416803519"/>
        <c:axId val="1416804479"/>
      </c:barChart>
      <c:catAx>
        <c:axId val="1416803519"/>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416804479"/>
        <c:crosses val="autoZero"/>
        <c:auto val="1"/>
        <c:lblAlgn val="ctr"/>
        <c:lblOffset val="100"/>
        <c:noMultiLvlLbl val="0"/>
      </c:catAx>
      <c:valAx>
        <c:axId val="1416804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1680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Average CPI Inflation Before, During and After COVID-19</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Question_4!$K$73</c:f>
              <c:strCache>
                <c:ptCount val="1"/>
                <c:pt idx="0">
                  <c:v>Pre-COVID Avg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Question_4!$J$74:$J$83</c:f>
              <c:strCache>
                <c:ptCount val="10"/>
                <c:pt idx="1">
                  <c:v>Overall CPI</c:v>
                </c:pt>
                <c:pt idx="2">
                  <c:v>Food</c:v>
                </c:pt>
                <c:pt idx="3">
                  <c:v>Health</c:v>
                </c:pt>
                <c:pt idx="4">
                  <c:v>Transport &amp; Communication</c:v>
                </c:pt>
                <c:pt idx="5">
                  <c:v>Fuel &amp; Energy CPI</c:v>
                </c:pt>
                <c:pt idx="6">
                  <c:v>Personal care and effects CPI</c:v>
                </c:pt>
                <c:pt idx="7">
                  <c:v>Housing CPI</c:v>
                </c:pt>
                <c:pt idx="8">
                  <c:v>Pan, tobacco and intoxicants</c:v>
                </c:pt>
                <c:pt idx="9">
                  <c:v>Education CPI</c:v>
                </c:pt>
              </c:strCache>
            </c:strRef>
          </c:cat>
          <c:val>
            <c:numRef>
              <c:f>Question_4!$K$74:$K$83</c:f>
              <c:numCache>
                <c:formatCode>0.00%</c:formatCode>
                <c:ptCount val="10"/>
                <c:pt idx="1">
                  <c:v>4.2803482214243724E-2</c:v>
                </c:pt>
                <c:pt idx="2">
                  <c:v>4.2485090648282063E-2</c:v>
                </c:pt>
                <c:pt idx="3">
                  <c:v>6.8495317056636251E-2</c:v>
                </c:pt>
                <c:pt idx="4">
                  <c:v>2.5019125305956742E-2</c:v>
                </c:pt>
                <c:pt idx="5">
                  <c:v>9.0936455835211889E-3</c:v>
                </c:pt>
                <c:pt idx="6">
                  <c:v>5.3352154796967192E-2</c:v>
                </c:pt>
                <c:pt idx="7">
                  <c:v>4.6719445041667425E-2</c:v>
                </c:pt>
                <c:pt idx="8">
                  <c:v>4.2569146916593789E-2</c:v>
                </c:pt>
                <c:pt idx="9">
                  <c:v>5.9839317450695914E-2</c:v>
                </c:pt>
              </c:numCache>
            </c:numRef>
          </c:val>
          <c:extLst>
            <c:ext xmlns:c16="http://schemas.microsoft.com/office/drawing/2014/chart" uri="{C3380CC4-5D6E-409C-BE32-E72D297353CC}">
              <c16:uniqueId val="{00000000-D0C5-4E2A-9CCC-3DE3AC7BF6C2}"/>
            </c:ext>
          </c:extLst>
        </c:ser>
        <c:ser>
          <c:idx val="1"/>
          <c:order val="1"/>
          <c:tx>
            <c:strRef>
              <c:f>Question_4!$L$73</c:f>
              <c:strCache>
                <c:ptCount val="1"/>
                <c:pt idx="0">
                  <c:v>COVID Onset(Mar-2020)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Question_4!$J$74:$J$83</c:f>
              <c:strCache>
                <c:ptCount val="10"/>
                <c:pt idx="1">
                  <c:v>Overall CPI</c:v>
                </c:pt>
                <c:pt idx="2">
                  <c:v>Food</c:v>
                </c:pt>
                <c:pt idx="3">
                  <c:v>Health</c:v>
                </c:pt>
                <c:pt idx="4">
                  <c:v>Transport &amp; Communication</c:v>
                </c:pt>
                <c:pt idx="5">
                  <c:v>Fuel &amp; Energy CPI</c:v>
                </c:pt>
                <c:pt idx="6">
                  <c:v>Personal care and effects CPI</c:v>
                </c:pt>
                <c:pt idx="7">
                  <c:v>Housing CPI</c:v>
                </c:pt>
                <c:pt idx="8">
                  <c:v>Pan, tobacco and intoxicants</c:v>
                </c:pt>
                <c:pt idx="9">
                  <c:v>Education CPI</c:v>
                </c:pt>
              </c:strCache>
            </c:strRef>
          </c:cat>
          <c:val>
            <c:numRef>
              <c:f>Question_4!$L$74:$L$83</c:f>
              <c:numCache>
                <c:formatCode>0.00%</c:formatCode>
                <c:ptCount val="10"/>
                <c:pt idx="1">
                  <c:v>5.8404558404558271E-2</c:v>
                </c:pt>
                <c:pt idx="2">
                  <c:v>7.4901526341703439E-2</c:v>
                </c:pt>
                <c:pt idx="3">
                  <c:v>4.1723666210670363E-2</c:v>
                </c:pt>
                <c:pt idx="4">
                  <c:v>4.2536115569823618E-2</c:v>
                </c:pt>
                <c:pt idx="5">
                  <c:v>6.5855404438081688E-2</c:v>
                </c:pt>
                <c:pt idx="6">
                  <c:v>8.8455772113942954E-2</c:v>
                </c:pt>
                <c:pt idx="7">
                  <c:v>3.691275167785224E-2</c:v>
                </c:pt>
                <c:pt idx="8">
                  <c:v>4.70948012232415E-2</c:v>
                </c:pt>
                <c:pt idx="9">
                  <c:v>3.8589487691284008E-2</c:v>
                </c:pt>
              </c:numCache>
            </c:numRef>
          </c:val>
          <c:extLst>
            <c:ext xmlns:c16="http://schemas.microsoft.com/office/drawing/2014/chart" uri="{C3380CC4-5D6E-409C-BE32-E72D297353CC}">
              <c16:uniqueId val="{00000001-D0C5-4E2A-9CCC-3DE3AC7BF6C2}"/>
            </c:ext>
          </c:extLst>
        </c:ser>
        <c:ser>
          <c:idx val="2"/>
          <c:order val="2"/>
          <c:tx>
            <c:strRef>
              <c:f>Question_4!$M$73</c:f>
              <c:strCache>
                <c:ptCount val="1"/>
                <c:pt idx="0">
                  <c:v>Lockdown Avg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Question_4!$J$74:$J$83</c:f>
              <c:strCache>
                <c:ptCount val="10"/>
                <c:pt idx="1">
                  <c:v>Overall CPI</c:v>
                </c:pt>
                <c:pt idx="2">
                  <c:v>Food</c:v>
                </c:pt>
                <c:pt idx="3">
                  <c:v>Health</c:v>
                </c:pt>
                <c:pt idx="4">
                  <c:v>Transport &amp; Communication</c:v>
                </c:pt>
                <c:pt idx="5">
                  <c:v>Fuel &amp; Energy CPI</c:v>
                </c:pt>
                <c:pt idx="6">
                  <c:v>Personal care and effects CPI</c:v>
                </c:pt>
                <c:pt idx="7">
                  <c:v>Housing CPI</c:v>
                </c:pt>
                <c:pt idx="8">
                  <c:v>Pan, tobacco and intoxicants</c:v>
                </c:pt>
                <c:pt idx="9">
                  <c:v>Education CPI</c:v>
                </c:pt>
              </c:strCache>
            </c:strRef>
          </c:cat>
          <c:val>
            <c:numRef>
              <c:f>Question_4!$M$74:$M$83</c:f>
              <c:numCache>
                <c:formatCode>0.00%</c:formatCode>
                <c:ptCount val="10"/>
                <c:pt idx="1">
                  <c:v>6.150234741784022E-2</c:v>
                </c:pt>
                <c:pt idx="2">
                  <c:v>9.6305269533615734E-2</c:v>
                </c:pt>
                <c:pt idx="3">
                  <c:v>3.8461538461538547E-2</c:v>
                </c:pt>
                <c:pt idx="4">
                  <c:v>6.7253803042433891E-2</c:v>
                </c:pt>
                <c:pt idx="5">
                  <c:v>1.9244476122594278E-2</c:v>
                </c:pt>
                <c:pt idx="6">
                  <c:v>0.12043978010994483</c:v>
                </c:pt>
                <c:pt idx="7">
                  <c:v>3.3644237175216585E-2</c:v>
                </c:pt>
                <c:pt idx="8">
                  <c:v>9.323583180987205E-2</c:v>
                </c:pt>
                <c:pt idx="9">
                  <c:v>3.0804749340369586E-2</c:v>
                </c:pt>
              </c:numCache>
            </c:numRef>
          </c:val>
          <c:extLst>
            <c:ext xmlns:c16="http://schemas.microsoft.com/office/drawing/2014/chart" uri="{C3380CC4-5D6E-409C-BE32-E72D297353CC}">
              <c16:uniqueId val="{00000002-D0C5-4E2A-9CCC-3DE3AC7BF6C2}"/>
            </c:ext>
          </c:extLst>
        </c:ser>
        <c:ser>
          <c:idx val="3"/>
          <c:order val="3"/>
          <c:tx>
            <c:strRef>
              <c:f>Question_4!$N$73</c:f>
              <c:strCache>
                <c:ptCount val="1"/>
                <c:pt idx="0">
                  <c:v>Post-Lockdown Avg</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Question_4!$J$74:$J$83</c:f>
              <c:strCache>
                <c:ptCount val="10"/>
                <c:pt idx="1">
                  <c:v>Overall CPI</c:v>
                </c:pt>
                <c:pt idx="2">
                  <c:v>Food</c:v>
                </c:pt>
                <c:pt idx="3">
                  <c:v>Health</c:v>
                </c:pt>
                <c:pt idx="4">
                  <c:v>Transport &amp; Communication</c:v>
                </c:pt>
                <c:pt idx="5">
                  <c:v>Fuel &amp; Energy CPI</c:v>
                </c:pt>
                <c:pt idx="6">
                  <c:v>Personal care and effects CPI</c:v>
                </c:pt>
                <c:pt idx="7">
                  <c:v>Housing CPI</c:v>
                </c:pt>
                <c:pt idx="8">
                  <c:v>Pan, tobacco and intoxicants</c:v>
                </c:pt>
                <c:pt idx="9">
                  <c:v>Education CPI</c:v>
                </c:pt>
              </c:strCache>
            </c:strRef>
          </c:cat>
          <c:val>
            <c:numRef>
              <c:f>Question_4!$N$74:$N$83</c:f>
              <c:numCache>
                <c:formatCode>0.00%</c:formatCode>
                <c:ptCount val="10"/>
                <c:pt idx="1">
                  <c:v>6.0339982478459717E-2</c:v>
                </c:pt>
                <c:pt idx="2">
                  <c:v>6.4447315689616147E-2</c:v>
                </c:pt>
                <c:pt idx="3">
                  <c:v>6.3730460076658349E-2</c:v>
                </c:pt>
                <c:pt idx="4">
                  <c:v>8.3600768429880762E-2</c:v>
                </c:pt>
                <c:pt idx="5">
                  <c:v>8.2758846286483001E-2</c:v>
                </c:pt>
                <c:pt idx="6">
                  <c:v>7.6276647782208662E-2</c:v>
                </c:pt>
                <c:pt idx="7">
                  <c:v>3.837319418486855E-2</c:v>
                </c:pt>
                <c:pt idx="8">
                  <c:v>5.3284424230531036E-2</c:v>
                </c:pt>
                <c:pt idx="9">
                  <c:v>3.8085597420307343E-2</c:v>
                </c:pt>
              </c:numCache>
            </c:numRef>
          </c:val>
          <c:extLst>
            <c:ext xmlns:c16="http://schemas.microsoft.com/office/drawing/2014/chart" uri="{C3380CC4-5D6E-409C-BE32-E72D297353CC}">
              <c16:uniqueId val="{00000003-D0C5-4E2A-9CCC-3DE3AC7BF6C2}"/>
            </c:ext>
          </c:extLst>
        </c:ser>
        <c:ser>
          <c:idx val="4"/>
          <c:order val="4"/>
          <c:tx>
            <c:strRef>
              <c:f>Question_4!$O$73</c:f>
              <c:strCache>
                <c:ptCount val="1"/>
                <c:pt idx="0">
                  <c:v>Change in Lockdown vs Pre-COVID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Question_4!$J$74:$J$83</c:f>
              <c:strCache>
                <c:ptCount val="10"/>
                <c:pt idx="1">
                  <c:v>Overall CPI</c:v>
                </c:pt>
                <c:pt idx="2">
                  <c:v>Food</c:v>
                </c:pt>
                <c:pt idx="3">
                  <c:v>Health</c:v>
                </c:pt>
                <c:pt idx="4">
                  <c:v>Transport &amp; Communication</c:v>
                </c:pt>
                <c:pt idx="5">
                  <c:v>Fuel &amp; Energy CPI</c:v>
                </c:pt>
                <c:pt idx="6">
                  <c:v>Personal care and effects CPI</c:v>
                </c:pt>
                <c:pt idx="7">
                  <c:v>Housing CPI</c:v>
                </c:pt>
                <c:pt idx="8">
                  <c:v>Pan, tobacco and intoxicants</c:v>
                </c:pt>
                <c:pt idx="9">
                  <c:v>Education CPI</c:v>
                </c:pt>
              </c:strCache>
            </c:strRef>
          </c:cat>
          <c:val>
            <c:numRef>
              <c:f>Question_4!$O$74:$O$83</c:f>
              <c:numCache>
                <c:formatCode>0.00%</c:formatCode>
                <c:ptCount val="10"/>
                <c:pt idx="1">
                  <c:v>1.8698865203596496E-2</c:v>
                </c:pt>
                <c:pt idx="2">
                  <c:v>5.3820178885333671E-2</c:v>
                </c:pt>
                <c:pt idx="3">
                  <c:v>-3.0033778595097704E-2</c:v>
                </c:pt>
                <c:pt idx="4">
                  <c:v>4.2234677736477148E-2</c:v>
                </c:pt>
                <c:pt idx="5">
                  <c:v>1.015083053907309E-2</c:v>
                </c:pt>
                <c:pt idx="6">
                  <c:v>6.7087625312977628E-2</c:v>
                </c:pt>
                <c:pt idx="7">
                  <c:v>-1.307520786645084E-2</c:v>
                </c:pt>
                <c:pt idx="8">
                  <c:v>5.066668489327826E-2</c:v>
                </c:pt>
                <c:pt idx="9">
                  <c:v>-2.9034568110326328E-2</c:v>
                </c:pt>
              </c:numCache>
            </c:numRef>
          </c:val>
          <c:extLst>
            <c:ext xmlns:c16="http://schemas.microsoft.com/office/drawing/2014/chart" uri="{C3380CC4-5D6E-409C-BE32-E72D297353CC}">
              <c16:uniqueId val="{00000000-66F7-48F4-8E26-AFC10DED5F98}"/>
            </c:ext>
          </c:extLst>
        </c:ser>
        <c:dLbls>
          <c:dLblPos val="outEnd"/>
          <c:showLegendKey val="0"/>
          <c:showVal val="1"/>
          <c:showCatName val="0"/>
          <c:showSerName val="0"/>
          <c:showPercent val="0"/>
          <c:showBubbleSize val="0"/>
        </c:dLbls>
        <c:gapWidth val="219"/>
        <c:overlap val="-27"/>
        <c:axId val="1416827519"/>
        <c:axId val="1416844319"/>
      </c:barChart>
      <c:catAx>
        <c:axId val="141682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844319"/>
        <c:crosses val="autoZero"/>
        <c:auto val="1"/>
        <c:lblAlgn val="ctr"/>
        <c:lblOffset val="100"/>
        <c:noMultiLvlLbl val="0"/>
      </c:catAx>
      <c:valAx>
        <c:axId val="141684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827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Change in Inflation During COVID-19 Lockdown vs Pre-COVID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Question_4!$O$73</c:f>
              <c:strCache>
                <c:ptCount val="1"/>
                <c:pt idx="0">
                  <c:v>Change in Lockdown vs Pre-COVID</c:v>
                </c:pt>
              </c:strCache>
            </c:strRef>
          </c:tx>
          <c:spPr>
            <a:solidFill>
              <a:schemeClr val="accent1"/>
            </a:solidFill>
            <a:ln>
              <a:noFill/>
            </a:ln>
            <a:effectLst/>
          </c:spPr>
          <c:invertIfNegative val="0"/>
          <c:dLbls>
            <c:dLbl>
              <c:idx val="6"/>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539D-4BBD-9521-538A30AA896B}"/>
                </c:ext>
              </c:extLst>
            </c:dLbl>
            <c:dLbl>
              <c:idx val="9"/>
              <c:layout>
                <c:manualLayout>
                  <c:x val="-1.3869328338257932E-2"/>
                  <c:y val="-4.215764836006747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39D-4BBD-9521-538A30AA89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Question_4!$J$74:$J$83</c:f>
              <c:strCache>
                <c:ptCount val="10"/>
                <c:pt idx="1">
                  <c:v>Overall CPI</c:v>
                </c:pt>
                <c:pt idx="2">
                  <c:v>Food</c:v>
                </c:pt>
                <c:pt idx="3">
                  <c:v>Health</c:v>
                </c:pt>
                <c:pt idx="4">
                  <c:v>Transport &amp; Communication</c:v>
                </c:pt>
                <c:pt idx="5">
                  <c:v>Fuel &amp; Energy CPI</c:v>
                </c:pt>
                <c:pt idx="6">
                  <c:v>Personal care and effects CPI</c:v>
                </c:pt>
                <c:pt idx="7">
                  <c:v>Housing CPI</c:v>
                </c:pt>
                <c:pt idx="8">
                  <c:v>Pan, tobacco and intoxicants</c:v>
                </c:pt>
                <c:pt idx="9">
                  <c:v>Education CPI</c:v>
                </c:pt>
              </c:strCache>
            </c:strRef>
          </c:cat>
          <c:val>
            <c:numRef>
              <c:f>Question_4!$O$74:$O$83</c:f>
              <c:numCache>
                <c:formatCode>0.00%</c:formatCode>
                <c:ptCount val="10"/>
                <c:pt idx="1">
                  <c:v>1.8698865203596496E-2</c:v>
                </c:pt>
                <c:pt idx="2">
                  <c:v>5.3820178885333671E-2</c:v>
                </c:pt>
                <c:pt idx="3">
                  <c:v>-3.0033778595097704E-2</c:v>
                </c:pt>
                <c:pt idx="4">
                  <c:v>4.2234677736477148E-2</c:v>
                </c:pt>
                <c:pt idx="5">
                  <c:v>1.015083053907309E-2</c:v>
                </c:pt>
                <c:pt idx="6">
                  <c:v>6.7087625312977628E-2</c:v>
                </c:pt>
                <c:pt idx="7">
                  <c:v>-1.307520786645084E-2</c:v>
                </c:pt>
                <c:pt idx="8">
                  <c:v>5.066668489327826E-2</c:v>
                </c:pt>
                <c:pt idx="9">
                  <c:v>-2.9034568110326328E-2</c:v>
                </c:pt>
              </c:numCache>
            </c:numRef>
          </c:val>
          <c:extLst>
            <c:ext xmlns:c16="http://schemas.microsoft.com/office/drawing/2014/chart" uri="{C3380CC4-5D6E-409C-BE32-E72D297353CC}">
              <c16:uniqueId val="{00000000-CD2E-4FC8-9A65-BA33550122E5}"/>
            </c:ext>
          </c:extLst>
        </c:ser>
        <c:dLbls>
          <c:dLblPos val="outEnd"/>
          <c:showLegendKey val="0"/>
          <c:showVal val="1"/>
          <c:showCatName val="0"/>
          <c:showSerName val="0"/>
          <c:showPercent val="0"/>
          <c:showBubbleSize val="0"/>
        </c:dLbls>
        <c:gapWidth val="182"/>
        <c:axId val="1560615711"/>
        <c:axId val="1560610911"/>
      </c:barChart>
      <c:catAx>
        <c:axId val="1560615711"/>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610911"/>
        <c:crosses val="autoZero"/>
        <c:auto val="1"/>
        <c:lblAlgn val="ctr"/>
        <c:lblOffset val="100"/>
        <c:noMultiLvlLbl val="0"/>
      </c:catAx>
      <c:valAx>
        <c:axId val="1560610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61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Monthly CPI Inflation Trend Before and During COVID-19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Question_4!$N$4</c:f>
              <c:strCache>
                <c:ptCount val="1"/>
                <c:pt idx="0">
                  <c:v>Overall CPI Inflation %</c:v>
                </c:pt>
              </c:strCache>
            </c:strRef>
          </c:tx>
          <c:spPr>
            <a:ln w="28575" cap="rnd">
              <a:solidFill>
                <a:schemeClr val="accent1"/>
              </a:solidFill>
              <a:round/>
            </a:ln>
            <a:effectLst/>
          </c:spPr>
          <c:marker>
            <c:symbol val="none"/>
          </c:marker>
          <c:cat>
            <c:numRef>
              <c:f>Question_4!$L$5:$L$56</c:f>
              <c:numCache>
                <c:formatCode>mmm/yyyy</c:formatCode>
                <c:ptCount val="52"/>
                <c:pt idx="0">
                  <c:v>43466</c:v>
                </c:pt>
                <c:pt idx="1">
                  <c:v>43497</c:v>
                </c:pt>
                <c:pt idx="2">
                  <c:v>43525</c:v>
                </c:pt>
                <c:pt idx="3">
                  <c:v>43586</c:v>
                </c:pt>
                <c:pt idx="4">
                  <c:v>43617</c:v>
                </c:pt>
                <c:pt idx="5">
                  <c:v>43647</c:v>
                </c:pt>
                <c:pt idx="6">
                  <c:v>43678</c:v>
                </c:pt>
                <c:pt idx="7">
                  <c:v>43709</c:v>
                </c:pt>
                <c:pt idx="8">
                  <c:v>43739</c:v>
                </c:pt>
                <c:pt idx="9">
                  <c:v>43770</c:v>
                </c:pt>
                <c:pt idx="10">
                  <c:v>43800</c:v>
                </c:pt>
                <c:pt idx="11">
                  <c:v>43831</c:v>
                </c:pt>
                <c:pt idx="12">
                  <c:v>43862</c:v>
                </c:pt>
                <c:pt idx="13">
                  <c:v>43891</c:v>
                </c:pt>
                <c:pt idx="14">
                  <c:v>43922</c:v>
                </c:pt>
                <c:pt idx="15">
                  <c:v>43952</c:v>
                </c:pt>
                <c:pt idx="16">
                  <c:v>43983</c:v>
                </c:pt>
                <c:pt idx="17">
                  <c:v>44013</c:v>
                </c:pt>
                <c:pt idx="18">
                  <c:v>44044</c:v>
                </c:pt>
                <c:pt idx="19">
                  <c:v>44075</c:v>
                </c:pt>
                <c:pt idx="20">
                  <c:v>44105</c:v>
                </c:pt>
                <c:pt idx="21">
                  <c:v>44136</c:v>
                </c:pt>
                <c:pt idx="22">
                  <c:v>44166</c:v>
                </c:pt>
                <c:pt idx="23">
                  <c:v>44197</c:v>
                </c:pt>
                <c:pt idx="24">
                  <c:v>44228</c:v>
                </c:pt>
                <c:pt idx="25">
                  <c:v>44256</c:v>
                </c:pt>
                <c:pt idx="26">
                  <c:v>44287</c:v>
                </c:pt>
                <c:pt idx="27">
                  <c:v>44317</c:v>
                </c:pt>
                <c:pt idx="28">
                  <c:v>44348</c:v>
                </c:pt>
                <c:pt idx="29">
                  <c:v>44378</c:v>
                </c:pt>
                <c:pt idx="30">
                  <c:v>44409</c:v>
                </c:pt>
                <c:pt idx="31">
                  <c:v>44440</c:v>
                </c:pt>
                <c:pt idx="32">
                  <c:v>44470</c:v>
                </c:pt>
                <c:pt idx="33">
                  <c:v>44501</c:v>
                </c:pt>
                <c:pt idx="34">
                  <c:v>44531</c:v>
                </c:pt>
                <c:pt idx="35">
                  <c:v>44562</c:v>
                </c:pt>
                <c:pt idx="36">
                  <c:v>44593</c:v>
                </c:pt>
                <c:pt idx="37">
                  <c:v>44621</c:v>
                </c:pt>
                <c:pt idx="38">
                  <c:v>44652</c:v>
                </c:pt>
                <c:pt idx="39">
                  <c:v>44682</c:v>
                </c:pt>
                <c:pt idx="40">
                  <c:v>44713</c:v>
                </c:pt>
                <c:pt idx="41">
                  <c:v>44743</c:v>
                </c:pt>
                <c:pt idx="42">
                  <c:v>44774</c:v>
                </c:pt>
                <c:pt idx="43">
                  <c:v>44805</c:v>
                </c:pt>
                <c:pt idx="44">
                  <c:v>44835</c:v>
                </c:pt>
                <c:pt idx="45">
                  <c:v>44866</c:v>
                </c:pt>
                <c:pt idx="46">
                  <c:v>44896</c:v>
                </c:pt>
                <c:pt idx="47">
                  <c:v>44927</c:v>
                </c:pt>
                <c:pt idx="48">
                  <c:v>44958</c:v>
                </c:pt>
                <c:pt idx="49">
                  <c:v>44986</c:v>
                </c:pt>
                <c:pt idx="50">
                  <c:v>45017</c:v>
                </c:pt>
                <c:pt idx="51">
                  <c:v>45047</c:v>
                </c:pt>
              </c:numCache>
            </c:numRef>
          </c:cat>
          <c:val>
            <c:numRef>
              <c:f>Question_4!$N$5:$N$56</c:f>
              <c:numCache>
                <c:formatCode>0.00%</c:formatCode>
                <c:ptCount val="52"/>
                <c:pt idx="0">
                  <c:v>1.9722425127830512E-2</c:v>
                </c:pt>
                <c:pt idx="1">
                  <c:v>2.5659824046920798E-2</c:v>
                </c:pt>
                <c:pt idx="2">
                  <c:v>2.8571428571428692E-2</c:v>
                </c:pt>
                <c:pt idx="3">
                  <c:v>3.0478955007256836E-2</c:v>
                </c:pt>
                <c:pt idx="4">
                  <c:v>3.1768953068592065E-2</c:v>
                </c:pt>
                <c:pt idx="5">
                  <c:v>3.1473533619456262E-2</c:v>
                </c:pt>
                <c:pt idx="6">
                  <c:v>3.2763532763532721E-2</c:v>
                </c:pt>
                <c:pt idx="7">
                  <c:v>3.9942938659058624E-2</c:v>
                </c:pt>
                <c:pt idx="8">
                  <c:v>4.5454545454545192E-2</c:v>
                </c:pt>
                <c:pt idx="9">
                  <c:v>5.5397727272727071E-2</c:v>
                </c:pt>
                <c:pt idx="10">
                  <c:v>7.3518915060670986E-2</c:v>
                </c:pt>
                <c:pt idx="11">
                  <c:v>7.5931232091690504E-2</c:v>
                </c:pt>
                <c:pt idx="12">
                  <c:v>6.5761258041458159E-2</c:v>
                </c:pt>
                <c:pt idx="13">
                  <c:v>5.8404558404558271E-2</c:v>
                </c:pt>
                <c:pt idx="14" formatCode="General">
                  <c:v>0</c:v>
                </c:pt>
                <c:pt idx="15">
                  <c:v>6.150234741784022E-2</c:v>
                </c:pt>
                <c:pt idx="16">
                  <c:v>6.2281315605318355E-2</c:v>
                </c:pt>
                <c:pt idx="17">
                  <c:v>5.2704576976421835E-2</c:v>
                </c:pt>
                <c:pt idx="18">
                  <c:v>6.1379310344827687E-2</c:v>
                </c:pt>
                <c:pt idx="19">
                  <c:v>6.104252400548682E-2</c:v>
                </c:pt>
                <c:pt idx="20">
                  <c:v>6.2500000000000222E-2</c:v>
                </c:pt>
                <c:pt idx="21">
                  <c:v>6.5948855989232946E-2</c:v>
                </c:pt>
                <c:pt idx="22">
                  <c:v>5.6515957446808596E-2</c:v>
                </c:pt>
                <c:pt idx="23">
                  <c:v>4.7270306258322403E-2</c:v>
                </c:pt>
                <c:pt idx="24">
                  <c:v>5.0301810865191143E-2</c:v>
                </c:pt>
                <c:pt idx="25">
                  <c:v>5.5181695827725585E-2</c:v>
                </c:pt>
                <c:pt idx="26">
                  <c:v>5.4342984409799788E-2</c:v>
                </c:pt>
                <c:pt idx="27">
                  <c:v>6.4130915524104548E-2</c:v>
                </c:pt>
                <c:pt idx="28">
                  <c:v>6.2582345191040778E-2</c:v>
                </c:pt>
                <c:pt idx="29">
                  <c:v>7.0487483530961681E-2</c:v>
                </c:pt>
                <c:pt idx="30">
                  <c:v>6.0428849902534054E-2</c:v>
                </c:pt>
                <c:pt idx="31">
                  <c:v>5.4945054945054972E-2</c:v>
                </c:pt>
                <c:pt idx="32">
                  <c:v>5.8184143222506313E-2</c:v>
                </c:pt>
                <c:pt idx="33">
                  <c:v>5.2398989898989834E-2</c:v>
                </c:pt>
                <c:pt idx="34">
                  <c:v>4.5940843297671341E-2</c:v>
                </c:pt>
                <c:pt idx="35">
                  <c:v>5.3401144310235127E-2</c:v>
                </c:pt>
                <c:pt idx="36">
                  <c:v>6.0664112388250313E-2</c:v>
                </c:pt>
                <c:pt idx="37">
                  <c:v>6.9515306122448939E-2</c:v>
                </c:pt>
                <c:pt idx="38">
                  <c:v>7.7946768060836336E-2</c:v>
                </c:pt>
                <c:pt idx="39">
                  <c:v>7.0448877805486143E-2</c:v>
                </c:pt>
                <c:pt idx="40">
                  <c:v>7.0055796652200852E-2</c:v>
                </c:pt>
                <c:pt idx="41">
                  <c:v>6.7076923076923034E-2</c:v>
                </c:pt>
                <c:pt idx="42">
                  <c:v>6.8014705882353033E-2</c:v>
                </c:pt>
                <c:pt idx="43">
                  <c:v>7.4142156862745168E-2</c:v>
                </c:pt>
                <c:pt idx="44">
                  <c:v>6.7673716012084606E-2</c:v>
                </c:pt>
                <c:pt idx="45">
                  <c:v>5.8788242351529796E-2</c:v>
                </c:pt>
                <c:pt idx="46">
                  <c:v>5.7160048134777375E-2</c:v>
                </c:pt>
                <c:pt idx="47">
                  <c:v>6.5178032589016333E-2</c:v>
                </c:pt>
                <c:pt idx="48">
                  <c:v>6.682721252257684E-2</c:v>
                </c:pt>
                <c:pt idx="49">
                  <c:v>5.6648777579010101E-2</c:v>
                </c:pt>
                <c:pt idx="50">
                  <c:v>4.7031158142269325E-2</c:v>
                </c:pt>
                <c:pt idx="51">
                  <c:v>4.3098427489807856E-2</c:v>
                </c:pt>
              </c:numCache>
            </c:numRef>
          </c:val>
          <c:smooth val="0"/>
          <c:extLst>
            <c:ext xmlns:c16="http://schemas.microsoft.com/office/drawing/2014/chart" uri="{C3380CC4-5D6E-409C-BE32-E72D297353CC}">
              <c16:uniqueId val="{00000000-23BA-4FC9-BBEE-FC2B4E2077C3}"/>
            </c:ext>
          </c:extLst>
        </c:ser>
        <c:ser>
          <c:idx val="1"/>
          <c:order val="1"/>
          <c:tx>
            <c:strRef>
              <c:f>Question_4!$P$4</c:f>
              <c:strCache>
                <c:ptCount val="1"/>
                <c:pt idx="0">
                  <c:v>Food Inflation %</c:v>
                </c:pt>
              </c:strCache>
            </c:strRef>
          </c:tx>
          <c:spPr>
            <a:ln w="28575" cap="rnd">
              <a:solidFill>
                <a:schemeClr val="accent2"/>
              </a:solidFill>
              <a:round/>
            </a:ln>
            <a:effectLst/>
          </c:spPr>
          <c:marker>
            <c:symbol val="none"/>
          </c:marker>
          <c:cat>
            <c:numRef>
              <c:f>Question_4!$L$5:$L$56</c:f>
              <c:numCache>
                <c:formatCode>mmm/yyyy</c:formatCode>
                <c:ptCount val="52"/>
                <c:pt idx="0">
                  <c:v>43466</c:v>
                </c:pt>
                <c:pt idx="1">
                  <c:v>43497</c:v>
                </c:pt>
                <c:pt idx="2">
                  <c:v>43525</c:v>
                </c:pt>
                <c:pt idx="3">
                  <c:v>43586</c:v>
                </c:pt>
                <c:pt idx="4">
                  <c:v>43617</c:v>
                </c:pt>
                <c:pt idx="5">
                  <c:v>43647</c:v>
                </c:pt>
                <c:pt idx="6">
                  <c:v>43678</c:v>
                </c:pt>
                <c:pt idx="7">
                  <c:v>43709</c:v>
                </c:pt>
                <c:pt idx="8">
                  <c:v>43739</c:v>
                </c:pt>
                <c:pt idx="9">
                  <c:v>43770</c:v>
                </c:pt>
                <c:pt idx="10">
                  <c:v>43800</c:v>
                </c:pt>
                <c:pt idx="11">
                  <c:v>43831</c:v>
                </c:pt>
                <c:pt idx="12">
                  <c:v>43862</c:v>
                </c:pt>
                <c:pt idx="13">
                  <c:v>43891</c:v>
                </c:pt>
                <c:pt idx="14">
                  <c:v>43922</c:v>
                </c:pt>
                <c:pt idx="15">
                  <c:v>43952</c:v>
                </c:pt>
                <c:pt idx="16">
                  <c:v>43983</c:v>
                </c:pt>
                <c:pt idx="17">
                  <c:v>44013</c:v>
                </c:pt>
                <c:pt idx="18">
                  <c:v>44044</c:v>
                </c:pt>
                <c:pt idx="19">
                  <c:v>44075</c:v>
                </c:pt>
                <c:pt idx="20">
                  <c:v>44105</c:v>
                </c:pt>
                <c:pt idx="21">
                  <c:v>44136</c:v>
                </c:pt>
                <c:pt idx="22">
                  <c:v>44166</c:v>
                </c:pt>
                <c:pt idx="23">
                  <c:v>44197</c:v>
                </c:pt>
                <c:pt idx="24">
                  <c:v>44228</c:v>
                </c:pt>
                <c:pt idx="25">
                  <c:v>44256</c:v>
                </c:pt>
                <c:pt idx="26">
                  <c:v>44287</c:v>
                </c:pt>
                <c:pt idx="27">
                  <c:v>44317</c:v>
                </c:pt>
                <c:pt idx="28">
                  <c:v>44348</c:v>
                </c:pt>
                <c:pt idx="29">
                  <c:v>44378</c:v>
                </c:pt>
                <c:pt idx="30">
                  <c:v>44409</c:v>
                </c:pt>
                <c:pt idx="31">
                  <c:v>44440</c:v>
                </c:pt>
                <c:pt idx="32">
                  <c:v>44470</c:v>
                </c:pt>
                <c:pt idx="33">
                  <c:v>44501</c:v>
                </c:pt>
                <c:pt idx="34">
                  <c:v>44531</c:v>
                </c:pt>
                <c:pt idx="35">
                  <c:v>44562</c:v>
                </c:pt>
                <c:pt idx="36">
                  <c:v>44593</c:v>
                </c:pt>
                <c:pt idx="37">
                  <c:v>44621</c:v>
                </c:pt>
                <c:pt idx="38">
                  <c:v>44652</c:v>
                </c:pt>
                <c:pt idx="39">
                  <c:v>44682</c:v>
                </c:pt>
                <c:pt idx="40">
                  <c:v>44713</c:v>
                </c:pt>
                <c:pt idx="41">
                  <c:v>44743</c:v>
                </c:pt>
                <c:pt idx="42">
                  <c:v>44774</c:v>
                </c:pt>
                <c:pt idx="43">
                  <c:v>44805</c:v>
                </c:pt>
                <c:pt idx="44">
                  <c:v>44835</c:v>
                </c:pt>
                <c:pt idx="45">
                  <c:v>44866</c:v>
                </c:pt>
                <c:pt idx="46">
                  <c:v>44896</c:v>
                </c:pt>
                <c:pt idx="47">
                  <c:v>44927</c:v>
                </c:pt>
                <c:pt idx="48">
                  <c:v>44958</c:v>
                </c:pt>
                <c:pt idx="49">
                  <c:v>44986</c:v>
                </c:pt>
                <c:pt idx="50">
                  <c:v>45017</c:v>
                </c:pt>
                <c:pt idx="51">
                  <c:v>45047</c:v>
                </c:pt>
              </c:numCache>
            </c:numRef>
          </c:cat>
          <c:val>
            <c:numRef>
              <c:f>Question_4!$P$5:$P$56</c:f>
              <c:numCache>
                <c:formatCode>0.00%</c:formatCode>
                <c:ptCount val="52"/>
                <c:pt idx="0">
                  <c:v>-1.5054549887243307E-2</c:v>
                </c:pt>
                <c:pt idx="1">
                  <c:v>-1.971900419028727E-3</c:v>
                </c:pt>
                <c:pt idx="2">
                  <c:v>3.7064492216456468E-3</c:v>
                </c:pt>
                <c:pt idx="3">
                  <c:v>1.8067460072763053E-2</c:v>
                </c:pt>
                <c:pt idx="4">
                  <c:v>2.2450602557044119E-2</c:v>
                </c:pt>
                <c:pt idx="5">
                  <c:v>2.3520164459761794E-2</c:v>
                </c:pt>
                <c:pt idx="6">
                  <c:v>2.6312613156306508E-2</c:v>
                </c:pt>
                <c:pt idx="7">
                  <c:v>4.3682508693795086E-2</c:v>
                </c:pt>
                <c:pt idx="8">
                  <c:v>6.0800488848151479E-2</c:v>
                </c:pt>
                <c:pt idx="9">
                  <c:v>7.5183374083129584E-2</c:v>
                </c:pt>
                <c:pt idx="10">
                  <c:v>0.10248676597316297</c:v>
                </c:pt>
                <c:pt idx="11">
                  <c:v>0.10575495049504946</c:v>
                </c:pt>
                <c:pt idx="12">
                  <c:v>8.7367251173129157E-2</c:v>
                </c:pt>
                <c:pt idx="13">
                  <c:v>7.4901526341703439E-2</c:v>
                </c:pt>
                <c:pt idx="14">
                  <c:v>0</c:v>
                </c:pt>
                <c:pt idx="15">
                  <c:v>9.6305269533615734E-2</c:v>
                </c:pt>
                <c:pt idx="16">
                  <c:v>8.4599736747636989E-2</c:v>
                </c:pt>
                <c:pt idx="17">
                  <c:v>7.0888468809073846E-2</c:v>
                </c:pt>
                <c:pt idx="18">
                  <c:v>8.0912619075620196E-2</c:v>
                </c:pt>
                <c:pt idx="19">
                  <c:v>8.0844098906880379E-2</c:v>
                </c:pt>
                <c:pt idx="20">
                  <c:v>8.7096774193548443E-2</c:v>
                </c:pt>
                <c:pt idx="21">
                  <c:v>9.772598067083571E-2</c:v>
                </c:pt>
                <c:pt idx="22">
                  <c:v>8.5199039696275847E-2</c:v>
                </c:pt>
                <c:pt idx="23">
                  <c:v>7.1968213106497148E-2</c:v>
                </c:pt>
                <c:pt idx="24">
                  <c:v>6.887740616660043E-2</c:v>
                </c:pt>
                <c:pt idx="25">
                  <c:v>7.7984540509590472E-2</c:v>
                </c:pt>
                <c:pt idx="26">
                  <c:v>5.4725542275343209E-2</c:v>
                </c:pt>
                <c:pt idx="27">
                  <c:v>7.4585635359116109E-2</c:v>
                </c:pt>
                <c:pt idx="28">
                  <c:v>8.743380406001755E-2</c:v>
                </c:pt>
                <c:pt idx="29">
                  <c:v>9.3887908208296622E-2</c:v>
                </c:pt>
                <c:pt idx="30">
                  <c:v>7.6052660211076262E-2</c:v>
                </c:pt>
                <c:pt idx="31">
                  <c:v>6.9767441860465018E-2</c:v>
                </c:pt>
                <c:pt idx="32">
                  <c:v>6.3904196693514326E-2</c:v>
                </c:pt>
                <c:pt idx="33">
                  <c:v>4.8423015174271056E-2</c:v>
                </c:pt>
                <c:pt idx="34">
                  <c:v>3.5499305448371654E-2</c:v>
                </c:pt>
                <c:pt idx="35">
                  <c:v>4.2965283215870675E-2</c:v>
                </c:pt>
                <c:pt idx="36">
                  <c:v>5.9817254568635958E-2</c:v>
                </c:pt>
                <c:pt idx="37">
                  <c:v>7.0696340362245813E-2</c:v>
                </c:pt>
                <c:pt idx="38">
                  <c:v>7.2084360736582642E-2</c:v>
                </c:pt>
                <c:pt idx="39">
                  <c:v>6.2005141388174811E-2</c:v>
                </c:pt>
                <c:pt idx="40">
                  <c:v>5.8692233551463469E-2</c:v>
                </c:pt>
                <c:pt idx="41">
                  <c:v>5.4614220877458264E-2</c:v>
                </c:pt>
                <c:pt idx="42">
                  <c:v>5.808897876643071E-2</c:v>
                </c:pt>
                <c:pt idx="43">
                  <c:v>6.3245702730030162E-2</c:v>
                </c:pt>
                <c:pt idx="44">
                  <c:v>5.4736527542583957E-2</c:v>
                </c:pt>
                <c:pt idx="45">
                  <c:v>4.6482908516103594E-2</c:v>
                </c:pt>
                <c:pt idx="46">
                  <c:v>4.7100909226412302E-2</c:v>
                </c:pt>
                <c:pt idx="47">
                  <c:v>5.9165081589748869E-2</c:v>
                </c:pt>
                <c:pt idx="48">
                  <c:v>5.3684210526315557E-2</c:v>
                </c:pt>
                <c:pt idx="49">
                  <c:v>4.286139497966035E-2</c:v>
                </c:pt>
                <c:pt idx="50">
                  <c:v>3.3374113041350739E-2</c:v>
                </c:pt>
                <c:pt idx="51">
                  <c:v>3.0112316034082154E-2</c:v>
                </c:pt>
              </c:numCache>
            </c:numRef>
          </c:val>
          <c:smooth val="0"/>
          <c:extLst>
            <c:ext xmlns:c16="http://schemas.microsoft.com/office/drawing/2014/chart" uri="{C3380CC4-5D6E-409C-BE32-E72D297353CC}">
              <c16:uniqueId val="{00000001-23BA-4FC9-BBEE-FC2B4E2077C3}"/>
            </c:ext>
          </c:extLst>
        </c:ser>
        <c:ser>
          <c:idx val="2"/>
          <c:order val="2"/>
          <c:tx>
            <c:strRef>
              <c:f>Question_4!$R$4</c:f>
              <c:strCache>
                <c:ptCount val="1"/>
                <c:pt idx="0">
                  <c:v>Health Inflation %</c:v>
                </c:pt>
              </c:strCache>
            </c:strRef>
          </c:tx>
          <c:spPr>
            <a:ln w="28575" cap="rnd">
              <a:solidFill>
                <a:schemeClr val="accent3"/>
              </a:solidFill>
              <a:round/>
            </a:ln>
            <a:effectLst/>
          </c:spPr>
          <c:marker>
            <c:symbol val="none"/>
          </c:marker>
          <c:cat>
            <c:numRef>
              <c:f>Question_4!$L$5:$L$56</c:f>
              <c:numCache>
                <c:formatCode>mmm/yyyy</c:formatCode>
                <c:ptCount val="52"/>
                <c:pt idx="0">
                  <c:v>43466</c:v>
                </c:pt>
                <c:pt idx="1">
                  <c:v>43497</c:v>
                </c:pt>
                <c:pt idx="2">
                  <c:v>43525</c:v>
                </c:pt>
                <c:pt idx="3">
                  <c:v>43586</c:v>
                </c:pt>
                <c:pt idx="4">
                  <c:v>43617</c:v>
                </c:pt>
                <c:pt idx="5">
                  <c:v>43647</c:v>
                </c:pt>
                <c:pt idx="6">
                  <c:v>43678</c:v>
                </c:pt>
                <c:pt idx="7">
                  <c:v>43709</c:v>
                </c:pt>
                <c:pt idx="8">
                  <c:v>43739</c:v>
                </c:pt>
                <c:pt idx="9">
                  <c:v>43770</c:v>
                </c:pt>
                <c:pt idx="10">
                  <c:v>43800</c:v>
                </c:pt>
                <c:pt idx="11">
                  <c:v>43831</c:v>
                </c:pt>
                <c:pt idx="12">
                  <c:v>43862</c:v>
                </c:pt>
                <c:pt idx="13">
                  <c:v>43891</c:v>
                </c:pt>
                <c:pt idx="14">
                  <c:v>43922</c:v>
                </c:pt>
                <c:pt idx="15">
                  <c:v>43952</c:v>
                </c:pt>
                <c:pt idx="16">
                  <c:v>43983</c:v>
                </c:pt>
                <c:pt idx="17">
                  <c:v>44013</c:v>
                </c:pt>
                <c:pt idx="18">
                  <c:v>44044</c:v>
                </c:pt>
                <c:pt idx="19">
                  <c:v>44075</c:v>
                </c:pt>
                <c:pt idx="20">
                  <c:v>44105</c:v>
                </c:pt>
                <c:pt idx="21">
                  <c:v>44136</c:v>
                </c:pt>
                <c:pt idx="22">
                  <c:v>44166</c:v>
                </c:pt>
                <c:pt idx="23">
                  <c:v>44197</c:v>
                </c:pt>
                <c:pt idx="24">
                  <c:v>44228</c:v>
                </c:pt>
                <c:pt idx="25">
                  <c:v>44256</c:v>
                </c:pt>
                <c:pt idx="26">
                  <c:v>44287</c:v>
                </c:pt>
                <c:pt idx="27">
                  <c:v>44317</c:v>
                </c:pt>
                <c:pt idx="28">
                  <c:v>44348</c:v>
                </c:pt>
                <c:pt idx="29">
                  <c:v>44378</c:v>
                </c:pt>
                <c:pt idx="30">
                  <c:v>44409</c:v>
                </c:pt>
                <c:pt idx="31">
                  <c:v>44440</c:v>
                </c:pt>
                <c:pt idx="32">
                  <c:v>44470</c:v>
                </c:pt>
                <c:pt idx="33">
                  <c:v>44501</c:v>
                </c:pt>
                <c:pt idx="34">
                  <c:v>44531</c:v>
                </c:pt>
                <c:pt idx="35">
                  <c:v>44562</c:v>
                </c:pt>
                <c:pt idx="36">
                  <c:v>44593</c:v>
                </c:pt>
                <c:pt idx="37">
                  <c:v>44621</c:v>
                </c:pt>
                <c:pt idx="38">
                  <c:v>44652</c:v>
                </c:pt>
                <c:pt idx="39">
                  <c:v>44682</c:v>
                </c:pt>
                <c:pt idx="40">
                  <c:v>44713</c:v>
                </c:pt>
                <c:pt idx="41">
                  <c:v>44743</c:v>
                </c:pt>
                <c:pt idx="42">
                  <c:v>44774</c:v>
                </c:pt>
                <c:pt idx="43">
                  <c:v>44805</c:v>
                </c:pt>
                <c:pt idx="44">
                  <c:v>44835</c:v>
                </c:pt>
                <c:pt idx="45">
                  <c:v>44866</c:v>
                </c:pt>
                <c:pt idx="46">
                  <c:v>44896</c:v>
                </c:pt>
                <c:pt idx="47">
                  <c:v>44927</c:v>
                </c:pt>
                <c:pt idx="48">
                  <c:v>44958</c:v>
                </c:pt>
                <c:pt idx="49">
                  <c:v>44986</c:v>
                </c:pt>
                <c:pt idx="50">
                  <c:v>45017</c:v>
                </c:pt>
                <c:pt idx="51">
                  <c:v>45047</c:v>
                </c:pt>
              </c:numCache>
            </c:numRef>
          </c:cat>
          <c:val>
            <c:numRef>
              <c:f>Question_4!$R$5:$R$56</c:f>
              <c:numCache>
                <c:formatCode>0.00%</c:formatCode>
                <c:ptCount val="52"/>
                <c:pt idx="0">
                  <c:v>8.8522130532632914E-2</c:v>
                </c:pt>
                <c:pt idx="1">
                  <c:v>8.819133034379667E-2</c:v>
                </c:pt>
                <c:pt idx="2">
                  <c:v>8.8607594936708667E-2</c:v>
                </c:pt>
                <c:pt idx="3">
                  <c:v>8.0147058823529349E-2</c:v>
                </c:pt>
                <c:pt idx="4">
                  <c:v>8.2232011747430445E-2</c:v>
                </c:pt>
                <c:pt idx="5">
                  <c:v>7.9562043795620374E-2</c:v>
                </c:pt>
                <c:pt idx="6">
                  <c:v>7.8431372549019773E-2</c:v>
                </c:pt>
                <c:pt idx="7">
                  <c:v>7.6589595375722519E-2</c:v>
                </c:pt>
                <c:pt idx="8">
                  <c:v>5.1372273047149974E-2</c:v>
                </c:pt>
                <c:pt idx="9">
                  <c:v>5.4890921885995869E-2</c:v>
                </c:pt>
                <c:pt idx="10">
                  <c:v>3.7957211870255358E-2</c:v>
                </c:pt>
                <c:pt idx="11">
                  <c:v>4.2039972432804884E-2</c:v>
                </c:pt>
                <c:pt idx="12">
                  <c:v>4.1895604395604469E-2</c:v>
                </c:pt>
                <c:pt idx="13">
                  <c:v>4.1723666210670363E-2</c:v>
                </c:pt>
                <c:pt idx="14">
                  <c:v>0</c:v>
                </c:pt>
                <c:pt idx="15">
                  <c:v>3.8461538461538547E-2</c:v>
                </c:pt>
                <c:pt idx="16">
                  <c:v>4.7489823609226489E-2</c:v>
                </c:pt>
                <c:pt idx="17">
                  <c:v>4.3948613928330049E-2</c:v>
                </c:pt>
                <c:pt idx="18">
                  <c:v>4.3771043771043683E-2</c:v>
                </c:pt>
                <c:pt idx="19">
                  <c:v>4.4295302013422688E-2</c:v>
                </c:pt>
                <c:pt idx="20">
                  <c:v>4.6184738955823423E-2</c:v>
                </c:pt>
                <c:pt idx="21">
                  <c:v>4.8699132755170016E-2</c:v>
                </c:pt>
                <c:pt idx="22">
                  <c:v>5.2526595744680993E-2</c:v>
                </c:pt>
                <c:pt idx="23">
                  <c:v>5.3571428571428825E-2</c:v>
                </c:pt>
                <c:pt idx="24">
                  <c:v>6.3282794990112246E-2</c:v>
                </c:pt>
                <c:pt idx="25">
                  <c:v>6.1720288903479803E-2</c:v>
                </c:pt>
                <c:pt idx="26">
                  <c:v>7.6974120769741416E-2</c:v>
                </c:pt>
                <c:pt idx="27">
                  <c:v>8.6856768272697504E-2</c:v>
                </c:pt>
                <c:pt idx="28">
                  <c:v>7.7072538860103679E-2</c:v>
                </c:pt>
                <c:pt idx="29">
                  <c:v>8.1606217616580379E-2</c:v>
                </c:pt>
                <c:pt idx="30">
                  <c:v>8.6451612903225783E-2</c:v>
                </c:pt>
                <c:pt idx="31">
                  <c:v>8.2262210796915314E-2</c:v>
                </c:pt>
                <c:pt idx="32">
                  <c:v>8.1893793985924335E-2</c:v>
                </c:pt>
                <c:pt idx="33">
                  <c:v>8.0788804071247E-2</c:v>
                </c:pt>
                <c:pt idx="34">
                  <c:v>7.7700568540745252E-2</c:v>
                </c:pt>
                <c:pt idx="35">
                  <c:v>7.5957313245448743E-2</c:v>
                </c:pt>
                <c:pt idx="36">
                  <c:v>6.7575945443273167E-2</c:v>
                </c:pt>
                <c:pt idx="37">
                  <c:v>6.9882498453927022E-2</c:v>
                </c:pt>
                <c:pt idx="38">
                  <c:v>7.2088724584103536E-2</c:v>
                </c:pt>
                <c:pt idx="39">
                  <c:v>5.428226779252121E-2</c:v>
                </c:pt>
                <c:pt idx="40">
                  <c:v>5.472038484666264E-2</c:v>
                </c:pt>
                <c:pt idx="41">
                  <c:v>5.4491017964071853E-2</c:v>
                </c:pt>
                <c:pt idx="42">
                  <c:v>4.9881235154394243E-2</c:v>
                </c:pt>
                <c:pt idx="43">
                  <c:v>5.581947743467941E-2</c:v>
                </c:pt>
                <c:pt idx="44">
                  <c:v>5.6771141336487307E-2</c:v>
                </c:pt>
                <c:pt idx="45">
                  <c:v>5.8269570335491405E-2</c:v>
                </c:pt>
                <c:pt idx="46">
                  <c:v>6.1547479484173495E-2</c:v>
                </c:pt>
                <c:pt idx="47">
                  <c:v>6.3593932322053792E-2</c:v>
                </c:pt>
                <c:pt idx="48">
                  <c:v>7.0847851335656298E-2</c:v>
                </c:pt>
                <c:pt idx="49">
                  <c:v>6.5895953757225456E-2</c:v>
                </c:pt>
                <c:pt idx="50">
                  <c:v>6.321839080459779E-2</c:v>
                </c:pt>
                <c:pt idx="51">
                  <c:v>6.2356979405034263E-2</c:v>
                </c:pt>
              </c:numCache>
            </c:numRef>
          </c:val>
          <c:smooth val="0"/>
          <c:extLst>
            <c:ext xmlns:c16="http://schemas.microsoft.com/office/drawing/2014/chart" uri="{C3380CC4-5D6E-409C-BE32-E72D297353CC}">
              <c16:uniqueId val="{00000002-23BA-4FC9-BBEE-FC2B4E2077C3}"/>
            </c:ext>
          </c:extLst>
        </c:ser>
        <c:ser>
          <c:idx val="3"/>
          <c:order val="3"/>
          <c:tx>
            <c:strRef>
              <c:f>Question_4!$T$4</c:f>
              <c:strCache>
                <c:ptCount val="1"/>
                <c:pt idx="0">
                  <c:v>Transport &amp; Communication Inflation %</c:v>
                </c:pt>
              </c:strCache>
            </c:strRef>
          </c:tx>
          <c:spPr>
            <a:ln w="28575" cap="rnd">
              <a:solidFill>
                <a:schemeClr val="accent4"/>
              </a:solidFill>
              <a:round/>
            </a:ln>
            <a:effectLst/>
          </c:spPr>
          <c:marker>
            <c:symbol val="none"/>
          </c:marker>
          <c:cat>
            <c:numRef>
              <c:f>Question_4!$L$5:$L$56</c:f>
              <c:numCache>
                <c:formatCode>mmm/yyyy</c:formatCode>
                <c:ptCount val="52"/>
                <c:pt idx="0">
                  <c:v>43466</c:v>
                </c:pt>
                <c:pt idx="1">
                  <c:v>43497</c:v>
                </c:pt>
                <c:pt idx="2">
                  <c:v>43525</c:v>
                </c:pt>
                <c:pt idx="3">
                  <c:v>43586</c:v>
                </c:pt>
                <c:pt idx="4">
                  <c:v>43617</c:v>
                </c:pt>
                <c:pt idx="5">
                  <c:v>43647</c:v>
                </c:pt>
                <c:pt idx="6">
                  <c:v>43678</c:v>
                </c:pt>
                <c:pt idx="7">
                  <c:v>43709</c:v>
                </c:pt>
                <c:pt idx="8">
                  <c:v>43739</c:v>
                </c:pt>
                <c:pt idx="9">
                  <c:v>43770</c:v>
                </c:pt>
                <c:pt idx="10">
                  <c:v>43800</c:v>
                </c:pt>
                <c:pt idx="11">
                  <c:v>43831</c:v>
                </c:pt>
                <c:pt idx="12">
                  <c:v>43862</c:v>
                </c:pt>
                <c:pt idx="13">
                  <c:v>43891</c:v>
                </c:pt>
                <c:pt idx="14">
                  <c:v>43922</c:v>
                </c:pt>
                <c:pt idx="15">
                  <c:v>43952</c:v>
                </c:pt>
                <c:pt idx="16">
                  <c:v>43983</c:v>
                </c:pt>
                <c:pt idx="17">
                  <c:v>44013</c:v>
                </c:pt>
                <c:pt idx="18">
                  <c:v>44044</c:v>
                </c:pt>
                <c:pt idx="19">
                  <c:v>44075</c:v>
                </c:pt>
                <c:pt idx="20">
                  <c:v>44105</c:v>
                </c:pt>
                <c:pt idx="21">
                  <c:v>44136</c:v>
                </c:pt>
                <c:pt idx="22">
                  <c:v>44166</c:v>
                </c:pt>
                <c:pt idx="23">
                  <c:v>44197</c:v>
                </c:pt>
                <c:pt idx="24">
                  <c:v>44228</c:v>
                </c:pt>
                <c:pt idx="25">
                  <c:v>44256</c:v>
                </c:pt>
                <c:pt idx="26">
                  <c:v>44287</c:v>
                </c:pt>
                <c:pt idx="27">
                  <c:v>44317</c:v>
                </c:pt>
                <c:pt idx="28">
                  <c:v>44348</c:v>
                </c:pt>
                <c:pt idx="29">
                  <c:v>44378</c:v>
                </c:pt>
                <c:pt idx="30">
                  <c:v>44409</c:v>
                </c:pt>
                <c:pt idx="31">
                  <c:v>44440</c:v>
                </c:pt>
                <c:pt idx="32">
                  <c:v>44470</c:v>
                </c:pt>
                <c:pt idx="33">
                  <c:v>44501</c:v>
                </c:pt>
                <c:pt idx="34">
                  <c:v>44531</c:v>
                </c:pt>
                <c:pt idx="35">
                  <c:v>44562</c:v>
                </c:pt>
                <c:pt idx="36">
                  <c:v>44593</c:v>
                </c:pt>
                <c:pt idx="37">
                  <c:v>44621</c:v>
                </c:pt>
                <c:pt idx="38">
                  <c:v>44652</c:v>
                </c:pt>
                <c:pt idx="39">
                  <c:v>44682</c:v>
                </c:pt>
                <c:pt idx="40">
                  <c:v>44713</c:v>
                </c:pt>
                <c:pt idx="41">
                  <c:v>44743</c:v>
                </c:pt>
                <c:pt idx="42">
                  <c:v>44774</c:v>
                </c:pt>
                <c:pt idx="43">
                  <c:v>44805</c:v>
                </c:pt>
                <c:pt idx="44">
                  <c:v>44835</c:v>
                </c:pt>
                <c:pt idx="45">
                  <c:v>44866</c:v>
                </c:pt>
                <c:pt idx="46">
                  <c:v>44896</c:v>
                </c:pt>
                <c:pt idx="47">
                  <c:v>44927</c:v>
                </c:pt>
                <c:pt idx="48">
                  <c:v>44958</c:v>
                </c:pt>
                <c:pt idx="49">
                  <c:v>44986</c:v>
                </c:pt>
                <c:pt idx="50">
                  <c:v>45017</c:v>
                </c:pt>
                <c:pt idx="51">
                  <c:v>45047</c:v>
                </c:pt>
              </c:numCache>
            </c:numRef>
          </c:cat>
          <c:val>
            <c:numRef>
              <c:f>Question_4!$T$5:$T$56</c:f>
              <c:numCache>
                <c:formatCode>0.00%</c:formatCode>
                <c:ptCount val="52"/>
                <c:pt idx="0">
                  <c:v>3.3528918692372178E-2</c:v>
                </c:pt>
                <c:pt idx="1">
                  <c:v>3.0782029950083167E-2</c:v>
                </c:pt>
                <c:pt idx="2">
                  <c:v>2.9752066115702469E-2</c:v>
                </c:pt>
                <c:pt idx="3">
                  <c:v>1.6273393002441017E-2</c:v>
                </c:pt>
                <c:pt idx="4">
                  <c:v>7.275666936135794E-3</c:v>
                </c:pt>
                <c:pt idx="5">
                  <c:v>1.6181229773462702E-2</c:v>
                </c:pt>
                <c:pt idx="6">
                  <c:v>1.2067578439259874E-2</c:v>
                </c:pt>
                <c:pt idx="7">
                  <c:v>7.9365079365079083E-4</c:v>
                </c:pt>
                <c:pt idx="8">
                  <c:v>6.3745019920318224E-3</c:v>
                </c:pt>
                <c:pt idx="9">
                  <c:v>8.7649402390437281E-3</c:v>
                </c:pt>
                <c:pt idx="10">
                  <c:v>5.0161812297734754E-2</c:v>
                </c:pt>
                <c:pt idx="11">
                  <c:v>6.1638280616382879E-2</c:v>
                </c:pt>
                <c:pt idx="12">
                  <c:v>5.1654560129136495E-2</c:v>
                </c:pt>
                <c:pt idx="13">
                  <c:v>4.2536115569823618E-2</c:v>
                </c:pt>
                <c:pt idx="14">
                  <c:v>0</c:v>
                </c:pt>
                <c:pt idx="15">
                  <c:v>6.7253803042433891E-2</c:v>
                </c:pt>
                <c:pt idx="16">
                  <c:v>8.3467094703049804E-2</c:v>
                </c:pt>
                <c:pt idx="17">
                  <c:v>7.4840764331210341E-2</c:v>
                </c:pt>
                <c:pt idx="18">
                  <c:v>0.10095389507154207</c:v>
                </c:pt>
                <c:pt idx="19">
                  <c:v>0.10705789056304527</c:v>
                </c:pt>
                <c:pt idx="20">
                  <c:v>0.11322248614410135</c:v>
                </c:pt>
                <c:pt idx="21">
                  <c:v>0.10900473933649302</c:v>
                </c:pt>
                <c:pt idx="22">
                  <c:v>8.397534668721085E-2</c:v>
                </c:pt>
                <c:pt idx="23">
                  <c:v>8.4033613445378075E-2</c:v>
                </c:pt>
                <c:pt idx="24">
                  <c:v>0.11358403683806584</c:v>
                </c:pt>
                <c:pt idx="25">
                  <c:v>0.12548113933795224</c:v>
                </c:pt>
                <c:pt idx="26">
                  <c:v>0.11398176291793316</c:v>
                </c:pt>
                <c:pt idx="27">
                  <c:v>0.11702925731432856</c:v>
                </c:pt>
                <c:pt idx="28">
                  <c:v>0.11629629629629612</c:v>
                </c:pt>
                <c:pt idx="29">
                  <c:v>0.13407407407407401</c:v>
                </c:pt>
                <c:pt idx="30">
                  <c:v>0.11191335740072206</c:v>
                </c:pt>
                <c:pt idx="31">
                  <c:v>0.1031518624641834</c:v>
                </c:pt>
                <c:pt idx="32">
                  <c:v>0.10739687055476521</c:v>
                </c:pt>
                <c:pt idx="33">
                  <c:v>0.10256410256410264</c:v>
                </c:pt>
                <c:pt idx="34">
                  <c:v>0.10660980810234544</c:v>
                </c:pt>
                <c:pt idx="35">
                  <c:v>0.10288935870331217</c:v>
                </c:pt>
                <c:pt idx="36">
                  <c:v>8.1323225361819462E-2</c:v>
                </c:pt>
                <c:pt idx="37">
                  <c:v>8.0027359781121854E-2</c:v>
                </c:pt>
                <c:pt idx="38">
                  <c:v>0.10914051841746253</c:v>
                </c:pt>
                <c:pt idx="39">
                  <c:v>9.469442578912024E-2</c:v>
                </c:pt>
                <c:pt idx="40">
                  <c:v>6.9011280690112864E-2</c:v>
                </c:pt>
                <c:pt idx="41">
                  <c:v>5.5519268451992065E-2</c:v>
                </c:pt>
                <c:pt idx="42">
                  <c:v>5.1298701298701399E-2</c:v>
                </c:pt>
                <c:pt idx="43">
                  <c:v>5.3896103896103886E-2</c:v>
                </c:pt>
                <c:pt idx="44">
                  <c:v>4.6242774566474187E-2</c:v>
                </c:pt>
                <c:pt idx="45">
                  <c:v>5.2971576227390127E-2</c:v>
                </c:pt>
                <c:pt idx="46">
                  <c:v>4.9454078355812614E-2</c:v>
                </c:pt>
                <c:pt idx="47">
                  <c:v>4.5367412140574936E-2</c:v>
                </c:pt>
                <c:pt idx="48">
                  <c:v>4.6526449968132377E-2</c:v>
                </c:pt>
                <c:pt idx="49">
                  <c:v>3.9898670044331785E-2</c:v>
                </c:pt>
                <c:pt idx="50">
                  <c:v>1.1685116851168464E-2</c:v>
                </c:pt>
                <c:pt idx="51">
                  <c:v>1.1042944785276232E-2</c:v>
                </c:pt>
              </c:numCache>
            </c:numRef>
          </c:val>
          <c:smooth val="0"/>
          <c:extLst>
            <c:ext xmlns:c16="http://schemas.microsoft.com/office/drawing/2014/chart" uri="{C3380CC4-5D6E-409C-BE32-E72D297353CC}">
              <c16:uniqueId val="{00000003-23BA-4FC9-BBEE-FC2B4E2077C3}"/>
            </c:ext>
          </c:extLst>
        </c:ser>
        <c:ser>
          <c:idx val="4"/>
          <c:order val="4"/>
          <c:tx>
            <c:strRef>
              <c:f>Question_4!$V$4</c:f>
              <c:strCache>
                <c:ptCount val="1"/>
                <c:pt idx="0">
                  <c:v>Fuel &amp; Energy Inflation %</c:v>
                </c:pt>
              </c:strCache>
            </c:strRef>
          </c:tx>
          <c:spPr>
            <a:ln w="28575" cap="rnd">
              <a:solidFill>
                <a:schemeClr val="accent5"/>
              </a:solidFill>
              <a:round/>
            </a:ln>
            <a:effectLst/>
          </c:spPr>
          <c:marker>
            <c:symbol val="none"/>
          </c:marker>
          <c:cat>
            <c:numRef>
              <c:f>Question_4!$L$5:$L$56</c:f>
              <c:numCache>
                <c:formatCode>mmm/yyyy</c:formatCode>
                <c:ptCount val="52"/>
                <c:pt idx="0">
                  <c:v>43466</c:v>
                </c:pt>
                <c:pt idx="1">
                  <c:v>43497</c:v>
                </c:pt>
                <c:pt idx="2">
                  <c:v>43525</c:v>
                </c:pt>
                <c:pt idx="3">
                  <c:v>43586</c:v>
                </c:pt>
                <c:pt idx="4">
                  <c:v>43617</c:v>
                </c:pt>
                <c:pt idx="5">
                  <c:v>43647</c:v>
                </c:pt>
                <c:pt idx="6">
                  <c:v>43678</c:v>
                </c:pt>
                <c:pt idx="7">
                  <c:v>43709</c:v>
                </c:pt>
                <c:pt idx="8">
                  <c:v>43739</c:v>
                </c:pt>
                <c:pt idx="9">
                  <c:v>43770</c:v>
                </c:pt>
                <c:pt idx="10">
                  <c:v>43800</c:v>
                </c:pt>
                <c:pt idx="11">
                  <c:v>43831</c:v>
                </c:pt>
                <c:pt idx="12">
                  <c:v>43862</c:v>
                </c:pt>
                <c:pt idx="13">
                  <c:v>43891</c:v>
                </c:pt>
                <c:pt idx="14">
                  <c:v>43922</c:v>
                </c:pt>
                <c:pt idx="15">
                  <c:v>43952</c:v>
                </c:pt>
                <c:pt idx="16">
                  <c:v>43983</c:v>
                </c:pt>
                <c:pt idx="17">
                  <c:v>44013</c:v>
                </c:pt>
                <c:pt idx="18">
                  <c:v>44044</c:v>
                </c:pt>
                <c:pt idx="19">
                  <c:v>44075</c:v>
                </c:pt>
                <c:pt idx="20">
                  <c:v>44105</c:v>
                </c:pt>
                <c:pt idx="21">
                  <c:v>44136</c:v>
                </c:pt>
                <c:pt idx="22">
                  <c:v>44166</c:v>
                </c:pt>
                <c:pt idx="23">
                  <c:v>44197</c:v>
                </c:pt>
                <c:pt idx="24">
                  <c:v>44228</c:v>
                </c:pt>
                <c:pt idx="25">
                  <c:v>44256</c:v>
                </c:pt>
                <c:pt idx="26">
                  <c:v>44287</c:v>
                </c:pt>
                <c:pt idx="27">
                  <c:v>44317</c:v>
                </c:pt>
                <c:pt idx="28">
                  <c:v>44348</c:v>
                </c:pt>
                <c:pt idx="29">
                  <c:v>44378</c:v>
                </c:pt>
                <c:pt idx="30">
                  <c:v>44409</c:v>
                </c:pt>
                <c:pt idx="31">
                  <c:v>44440</c:v>
                </c:pt>
                <c:pt idx="32">
                  <c:v>44470</c:v>
                </c:pt>
                <c:pt idx="33">
                  <c:v>44501</c:v>
                </c:pt>
                <c:pt idx="34">
                  <c:v>44531</c:v>
                </c:pt>
                <c:pt idx="35">
                  <c:v>44562</c:v>
                </c:pt>
                <c:pt idx="36">
                  <c:v>44593</c:v>
                </c:pt>
                <c:pt idx="37">
                  <c:v>44621</c:v>
                </c:pt>
                <c:pt idx="38">
                  <c:v>44652</c:v>
                </c:pt>
                <c:pt idx="39">
                  <c:v>44682</c:v>
                </c:pt>
                <c:pt idx="40">
                  <c:v>44713</c:v>
                </c:pt>
                <c:pt idx="41">
                  <c:v>44743</c:v>
                </c:pt>
                <c:pt idx="42">
                  <c:v>44774</c:v>
                </c:pt>
                <c:pt idx="43">
                  <c:v>44805</c:v>
                </c:pt>
                <c:pt idx="44">
                  <c:v>44835</c:v>
                </c:pt>
                <c:pt idx="45">
                  <c:v>44866</c:v>
                </c:pt>
                <c:pt idx="46">
                  <c:v>44896</c:v>
                </c:pt>
                <c:pt idx="47">
                  <c:v>44927</c:v>
                </c:pt>
                <c:pt idx="48">
                  <c:v>44958</c:v>
                </c:pt>
                <c:pt idx="49">
                  <c:v>44986</c:v>
                </c:pt>
                <c:pt idx="50">
                  <c:v>45017</c:v>
                </c:pt>
                <c:pt idx="51">
                  <c:v>45047</c:v>
                </c:pt>
              </c:numCache>
            </c:numRef>
          </c:cat>
          <c:val>
            <c:numRef>
              <c:f>Question_4!$V$5:$V$56</c:f>
              <c:numCache>
                <c:formatCode>0.00%</c:formatCode>
                <c:ptCount val="52"/>
                <c:pt idx="0">
                  <c:v>2.1229868228404225E-2</c:v>
                </c:pt>
                <c:pt idx="1">
                  <c:v>1.2435991221653397E-2</c:v>
                </c:pt>
                <c:pt idx="2">
                  <c:v>2.344322344322336E-2</c:v>
                </c:pt>
                <c:pt idx="3">
                  <c:v>2.4835646457268101E-2</c:v>
                </c:pt>
                <c:pt idx="4">
                  <c:v>2.2447501810282322E-2</c:v>
                </c:pt>
                <c:pt idx="5">
                  <c:v>-2.8632784538294986E-3</c:v>
                </c:pt>
                <c:pt idx="6">
                  <c:v>-1.7033356990773685E-2</c:v>
                </c:pt>
                <c:pt idx="7">
                  <c:v>-2.1784961349262333E-2</c:v>
                </c:pt>
                <c:pt idx="8">
                  <c:v>-3.2346868547832197E-2</c:v>
                </c:pt>
                <c:pt idx="9">
                  <c:v>-1.9297036526533362E-2</c:v>
                </c:pt>
                <c:pt idx="10">
                  <c:v>7.0077084793271904E-3</c:v>
                </c:pt>
                <c:pt idx="11">
                  <c:v>3.6559139784946293E-2</c:v>
                </c:pt>
                <c:pt idx="12">
                  <c:v>6.3583815028901647E-2</c:v>
                </c:pt>
                <c:pt idx="13">
                  <c:v>6.5855404438081688E-2</c:v>
                </c:pt>
                <c:pt idx="14">
                  <c:v>0</c:v>
                </c:pt>
                <c:pt idx="15">
                  <c:v>1.9244476122594278E-2</c:v>
                </c:pt>
                <c:pt idx="16">
                  <c:v>4.9575070821530343E-3</c:v>
                </c:pt>
                <c:pt idx="17">
                  <c:v>1.8664752333094059E-2</c:v>
                </c:pt>
                <c:pt idx="18">
                  <c:v>3.2490974729241895E-2</c:v>
                </c:pt>
                <c:pt idx="19">
                  <c:v>2.6580459770115139E-2</c:v>
                </c:pt>
                <c:pt idx="20">
                  <c:v>1.7780938833570348E-2</c:v>
                </c:pt>
                <c:pt idx="21">
                  <c:v>9.1356289529163082E-3</c:v>
                </c:pt>
                <c:pt idx="22">
                  <c:v>6.2630480167014113E-3</c:v>
                </c:pt>
                <c:pt idx="23">
                  <c:v>2.2821576763485618E-2</c:v>
                </c:pt>
                <c:pt idx="24">
                  <c:v>3.5326086956521952E-2</c:v>
                </c:pt>
                <c:pt idx="25">
                  <c:v>4.4325050369375285E-2</c:v>
                </c:pt>
                <c:pt idx="26">
                  <c:v>7.9805690492713355E-2</c:v>
                </c:pt>
                <c:pt idx="27">
                  <c:v>0.11468531468531462</c:v>
                </c:pt>
                <c:pt idx="28">
                  <c:v>0.12614517265680059</c:v>
                </c:pt>
                <c:pt idx="29">
                  <c:v>0.13248766737138817</c:v>
                </c:pt>
                <c:pt idx="30">
                  <c:v>0.13706293706293704</c:v>
                </c:pt>
                <c:pt idx="31">
                  <c:v>0.13785864240727763</c:v>
                </c:pt>
                <c:pt idx="32">
                  <c:v>0.14744933612858135</c:v>
                </c:pt>
                <c:pt idx="33">
                  <c:v>0.14136490250696387</c:v>
                </c:pt>
                <c:pt idx="34">
                  <c:v>0.13485477178423233</c:v>
                </c:pt>
                <c:pt idx="35">
                  <c:v>0.11020960108181188</c:v>
                </c:pt>
                <c:pt idx="36">
                  <c:v>8.7270341207349E-2</c:v>
                </c:pt>
                <c:pt idx="37">
                  <c:v>7.5241157556269922E-2</c:v>
                </c:pt>
                <c:pt idx="38">
                  <c:v>0.10668380462724936</c:v>
                </c:pt>
                <c:pt idx="39">
                  <c:v>9.535759096612284E-2</c:v>
                </c:pt>
                <c:pt idx="40">
                  <c:v>0.10137672090112626</c:v>
                </c:pt>
                <c:pt idx="41">
                  <c:v>0.11761045426260108</c:v>
                </c:pt>
                <c:pt idx="42">
                  <c:v>9.9630996309963304E-2</c:v>
                </c:pt>
                <c:pt idx="43">
                  <c:v>0.10393603936039364</c:v>
                </c:pt>
                <c:pt idx="44">
                  <c:v>9.9269183922046311E-2</c:v>
                </c:pt>
                <c:pt idx="45">
                  <c:v>0.10616229408175726</c:v>
                </c:pt>
                <c:pt idx="46">
                  <c:v>0.10907982937233407</c:v>
                </c:pt>
                <c:pt idx="47">
                  <c:v>0.10840438489646775</c:v>
                </c:pt>
                <c:pt idx="48">
                  <c:v>9.8974049487024818E-2</c:v>
                </c:pt>
                <c:pt idx="49">
                  <c:v>8.7918660287081396E-2</c:v>
                </c:pt>
                <c:pt idx="50">
                  <c:v>5.5168408826945514E-2</c:v>
                </c:pt>
                <c:pt idx="51">
                  <c:v>4.6964490263459391E-2</c:v>
                </c:pt>
              </c:numCache>
            </c:numRef>
          </c:val>
          <c:smooth val="0"/>
          <c:extLst>
            <c:ext xmlns:c16="http://schemas.microsoft.com/office/drawing/2014/chart" uri="{C3380CC4-5D6E-409C-BE32-E72D297353CC}">
              <c16:uniqueId val="{00000004-23BA-4FC9-BBEE-FC2B4E2077C3}"/>
            </c:ext>
          </c:extLst>
        </c:ser>
        <c:ser>
          <c:idx val="5"/>
          <c:order val="5"/>
          <c:tx>
            <c:strRef>
              <c:f>Question_4!$X$4</c:f>
              <c:strCache>
                <c:ptCount val="1"/>
                <c:pt idx="0">
                  <c:v>Personal care and effects Inflation %</c:v>
                </c:pt>
              </c:strCache>
            </c:strRef>
          </c:tx>
          <c:spPr>
            <a:ln w="28575" cap="rnd">
              <a:solidFill>
                <a:schemeClr val="accent6"/>
              </a:solidFill>
              <a:round/>
            </a:ln>
            <a:effectLst/>
          </c:spPr>
          <c:marker>
            <c:symbol val="none"/>
          </c:marker>
          <c:cat>
            <c:numRef>
              <c:f>Question_4!$L$5:$L$56</c:f>
              <c:numCache>
                <c:formatCode>mmm/yyyy</c:formatCode>
                <c:ptCount val="52"/>
                <c:pt idx="0">
                  <c:v>43466</c:v>
                </c:pt>
                <c:pt idx="1">
                  <c:v>43497</c:v>
                </c:pt>
                <c:pt idx="2">
                  <c:v>43525</c:v>
                </c:pt>
                <c:pt idx="3">
                  <c:v>43586</c:v>
                </c:pt>
                <c:pt idx="4">
                  <c:v>43617</c:v>
                </c:pt>
                <c:pt idx="5">
                  <c:v>43647</c:v>
                </c:pt>
                <c:pt idx="6">
                  <c:v>43678</c:v>
                </c:pt>
                <c:pt idx="7">
                  <c:v>43709</c:v>
                </c:pt>
                <c:pt idx="8">
                  <c:v>43739</c:v>
                </c:pt>
                <c:pt idx="9">
                  <c:v>43770</c:v>
                </c:pt>
                <c:pt idx="10">
                  <c:v>43800</c:v>
                </c:pt>
                <c:pt idx="11">
                  <c:v>43831</c:v>
                </c:pt>
                <c:pt idx="12">
                  <c:v>43862</c:v>
                </c:pt>
                <c:pt idx="13">
                  <c:v>43891</c:v>
                </c:pt>
                <c:pt idx="14">
                  <c:v>43922</c:v>
                </c:pt>
                <c:pt idx="15">
                  <c:v>43952</c:v>
                </c:pt>
                <c:pt idx="16">
                  <c:v>43983</c:v>
                </c:pt>
                <c:pt idx="17">
                  <c:v>44013</c:v>
                </c:pt>
                <c:pt idx="18">
                  <c:v>44044</c:v>
                </c:pt>
                <c:pt idx="19">
                  <c:v>44075</c:v>
                </c:pt>
                <c:pt idx="20">
                  <c:v>44105</c:v>
                </c:pt>
                <c:pt idx="21">
                  <c:v>44136</c:v>
                </c:pt>
                <c:pt idx="22">
                  <c:v>44166</c:v>
                </c:pt>
                <c:pt idx="23">
                  <c:v>44197</c:v>
                </c:pt>
                <c:pt idx="24">
                  <c:v>44228</c:v>
                </c:pt>
                <c:pt idx="25">
                  <c:v>44256</c:v>
                </c:pt>
                <c:pt idx="26">
                  <c:v>44287</c:v>
                </c:pt>
                <c:pt idx="27">
                  <c:v>44317</c:v>
                </c:pt>
                <c:pt idx="28">
                  <c:v>44348</c:v>
                </c:pt>
                <c:pt idx="29">
                  <c:v>44378</c:v>
                </c:pt>
                <c:pt idx="30">
                  <c:v>44409</c:v>
                </c:pt>
                <c:pt idx="31">
                  <c:v>44440</c:v>
                </c:pt>
                <c:pt idx="32">
                  <c:v>44470</c:v>
                </c:pt>
                <c:pt idx="33">
                  <c:v>44501</c:v>
                </c:pt>
                <c:pt idx="34">
                  <c:v>44531</c:v>
                </c:pt>
                <c:pt idx="35">
                  <c:v>44562</c:v>
                </c:pt>
                <c:pt idx="36">
                  <c:v>44593</c:v>
                </c:pt>
                <c:pt idx="37">
                  <c:v>44621</c:v>
                </c:pt>
                <c:pt idx="38">
                  <c:v>44652</c:v>
                </c:pt>
                <c:pt idx="39">
                  <c:v>44682</c:v>
                </c:pt>
                <c:pt idx="40">
                  <c:v>44713</c:v>
                </c:pt>
                <c:pt idx="41">
                  <c:v>44743</c:v>
                </c:pt>
                <c:pt idx="42">
                  <c:v>44774</c:v>
                </c:pt>
                <c:pt idx="43">
                  <c:v>44805</c:v>
                </c:pt>
                <c:pt idx="44">
                  <c:v>44835</c:v>
                </c:pt>
                <c:pt idx="45">
                  <c:v>44866</c:v>
                </c:pt>
                <c:pt idx="46">
                  <c:v>44896</c:v>
                </c:pt>
                <c:pt idx="47">
                  <c:v>44927</c:v>
                </c:pt>
                <c:pt idx="48">
                  <c:v>44958</c:v>
                </c:pt>
                <c:pt idx="49">
                  <c:v>44986</c:v>
                </c:pt>
                <c:pt idx="50">
                  <c:v>45017</c:v>
                </c:pt>
                <c:pt idx="51">
                  <c:v>45047</c:v>
                </c:pt>
              </c:numCache>
            </c:numRef>
          </c:cat>
          <c:val>
            <c:numRef>
              <c:f>Question_4!$X$5:$X$56</c:f>
              <c:numCache>
                <c:formatCode>0.00%</c:formatCode>
                <c:ptCount val="52"/>
                <c:pt idx="0">
                  <c:v>4.3205027494108483E-2</c:v>
                </c:pt>
                <c:pt idx="1">
                  <c:v>5.0117462803445534E-2</c:v>
                </c:pt>
                <c:pt idx="2">
                  <c:v>4.0561622464898806E-2</c:v>
                </c:pt>
                <c:pt idx="3">
                  <c:v>2.6943802925327276E-2</c:v>
                </c:pt>
                <c:pt idx="4">
                  <c:v>3.2282859338970127E-2</c:v>
                </c:pt>
                <c:pt idx="5">
                  <c:v>4.3043812451960095E-2</c:v>
                </c:pt>
                <c:pt idx="6">
                  <c:v>6.3797079169869431E-2</c:v>
                </c:pt>
                <c:pt idx="7">
                  <c:v>6.7226890756302282E-2</c:v>
                </c:pt>
                <c:pt idx="8">
                  <c:v>6.0606060606060552E-2</c:v>
                </c:pt>
                <c:pt idx="9">
                  <c:v>6.2878787878787978E-2</c:v>
                </c:pt>
                <c:pt idx="10">
                  <c:v>6.2027231467473687E-2</c:v>
                </c:pt>
                <c:pt idx="11">
                  <c:v>7.1536144578313143E-2</c:v>
                </c:pt>
                <c:pt idx="12">
                  <c:v>6.9351230425056087E-2</c:v>
                </c:pt>
                <c:pt idx="13">
                  <c:v>8.8455772113942954E-2</c:v>
                </c:pt>
                <c:pt idx="14">
                  <c:v>0</c:v>
                </c:pt>
                <c:pt idx="15">
                  <c:v>0.12043978010994483</c:v>
                </c:pt>
                <c:pt idx="16">
                  <c:v>0.12881608339538331</c:v>
                </c:pt>
                <c:pt idx="17">
                  <c:v>0.1171702284450995</c:v>
                </c:pt>
                <c:pt idx="18">
                  <c:v>0.11488439306358389</c:v>
                </c:pt>
                <c:pt idx="19">
                  <c:v>0.13385826771653564</c:v>
                </c:pt>
                <c:pt idx="20">
                  <c:v>0.12142857142857144</c:v>
                </c:pt>
                <c:pt idx="21">
                  <c:v>0.11831789023521022</c:v>
                </c:pt>
                <c:pt idx="22">
                  <c:v>0.11894586894586889</c:v>
                </c:pt>
                <c:pt idx="23">
                  <c:v>0.1018973998594519</c:v>
                </c:pt>
                <c:pt idx="24">
                  <c:v>8.6471408647140979E-2</c:v>
                </c:pt>
                <c:pt idx="25">
                  <c:v>5.9228650137741257E-2</c:v>
                </c:pt>
                <c:pt idx="26">
                  <c:v>5.4751131221719707E-2</c:v>
                </c:pt>
                <c:pt idx="27">
                  <c:v>6.1106155218555003E-2</c:v>
                </c:pt>
                <c:pt idx="28">
                  <c:v>4.7493403693931402E-2</c:v>
                </c:pt>
                <c:pt idx="29">
                  <c:v>5.6068601583113553E-2</c:v>
                </c:pt>
                <c:pt idx="30">
                  <c:v>3.6941023979261134E-2</c:v>
                </c:pt>
                <c:pt idx="31">
                  <c:v>1.0101010101010166E-2</c:v>
                </c:pt>
                <c:pt idx="32">
                  <c:v>2.420382165605095E-2</c:v>
                </c:pt>
                <c:pt idx="33">
                  <c:v>3.3779477374123568E-2</c:v>
                </c:pt>
                <c:pt idx="34">
                  <c:v>3.500954805856149E-2</c:v>
                </c:pt>
                <c:pt idx="35">
                  <c:v>3.9540816326530503E-2</c:v>
                </c:pt>
                <c:pt idx="36">
                  <c:v>5.5198973042361876E-2</c:v>
                </c:pt>
                <c:pt idx="37">
                  <c:v>8.7126137841352147E-2</c:v>
                </c:pt>
                <c:pt idx="38">
                  <c:v>8.6229086229086205E-2</c:v>
                </c:pt>
                <c:pt idx="39">
                  <c:v>6.1790668348045363E-2</c:v>
                </c:pt>
                <c:pt idx="40">
                  <c:v>6.6750629722921895E-2</c:v>
                </c:pt>
                <c:pt idx="41">
                  <c:v>5.9962523422860681E-2</c:v>
                </c:pt>
                <c:pt idx="42">
                  <c:v>6.999999999999984E-2</c:v>
                </c:pt>
                <c:pt idx="43">
                  <c:v>6.8124999999999991E-2</c:v>
                </c:pt>
                <c:pt idx="44">
                  <c:v>7.0273631840795936E-2</c:v>
                </c:pt>
                <c:pt idx="45">
                  <c:v>7.0283600493218357E-2</c:v>
                </c:pt>
                <c:pt idx="46">
                  <c:v>8.1180811808118092E-2</c:v>
                </c:pt>
                <c:pt idx="47">
                  <c:v>9.570552147239253E-2</c:v>
                </c:pt>
                <c:pt idx="48">
                  <c:v>0.1009732360097324</c:v>
                </c:pt>
                <c:pt idx="49">
                  <c:v>8.253588516746424E-2</c:v>
                </c:pt>
                <c:pt idx="50">
                  <c:v>9.004739336492884E-2</c:v>
                </c:pt>
                <c:pt idx="51">
                  <c:v>9.9762470308788487E-2</c:v>
                </c:pt>
              </c:numCache>
            </c:numRef>
          </c:val>
          <c:smooth val="0"/>
          <c:extLst>
            <c:ext xmlns:c16="http://schemas.microsoft.com/office/drawing/2014/chart" uri="{C3380CC4-5D6E-409C-BE32-E72D297353CC}">
              <c16:uniqueId val="{00000005-23BA-4FC9-BBEE-FC2B4E2077C3}"/>
            </c:ext>
          </c:extLst>
        </c:ser>
        <c:ser>
          <c:idx val="6"/>
          <c:order val="6"/>
          <c:tx>
            <c:strRef>
              <c:f>Question_4!$Z$4</c:f>
              <c:strCache>
                <c:ptCount val="1"/>
                <c:pt idx="0">
                  <c:v>Housing Inflation %</c:v>
                </c:pt>
              </c:strCache>
            </c:strRef>
          </c:tx>
          <c:spPr>
            <a:ln w="28575" cap="rnd">
              <a:solidFill>
                <a:schemeClr val="accent1">
                  <a:lumMod val="60000"/>
                </a:schemeClr>
              </a:solidFill>
              <a:round/>
            </a:ln>
            <a:effectLst/>
          </c:spPr>
          <c:marker>
            <c:symbol val="none"/>
          </c:marker>
          <c:cat>
            <c:numRef>
              <c:f>Question_4!$L$5:$L$56</c:f>
              <c:numCache>
                <c:formatCode>mmm/yyyy</c:formatCode>
                <c:ptCount val="52"/>
                <c:pt idx="0">
                  <c:v>43466</c:v>
                </c:pt>
                <c:pt idx="1">
                  <c:v>43497</c:v>
                </c:pt>
                <c:pt idx="2">
                  <c:v>43525</c:v>
                </c:pt>
                <c:pt idx="3">
                  <c:v>43586</c:v>
                </c:pt>
                <c:pt idx="4">
                  <c:v>43617</c:v>
                </c:pt>
                <c:pt idx="5">
                  <c:v>43647</c:v>
                </c:pt>
                <c:pt idx="6">
                  <c:v>43678</c:v>
                </c:pt>
                <c:pt idx="7">
                  <c:v>43709</c:v>
                </c:pt>
                <c:pt idx="8">
                  <c:v>43739</c:v>
                </c:pt>
                <c:pt idx="9">
                  <c:v>43770</c:v>
                </c:pt>
                <c:pt idx="10">
                  <c:v>43800</c:v>
                </c:pt>
                <c:pt idx="11">
                  <c:v>43831</c:v>
                </c:pt>
                <c:pt idx="12">
                  <c:v>43862</c:v>
                </c:pt>
                <c:pt idx="13">
                  <c:v>43891</c:v>
                </c:pt>
                <c:pt idx="14">
                  <c:v>43922</c:v>
                </c:pt>
                <c:pt idx="15">
                  <c:v>43952</c:v>
                </c:pt>
                <c:pt idx="16">
                  <c:v>43983</c:v>
                </c:pt>
                <c:pt idx="17">
                  <c:v>44013</c:v>
                </c:pt>
                <c:pt idx="18">
                  <c:v>44044</c:v>
                </c:pt>
                <c:pt idx="19">
                  <c:v>44075</c:v>
                </c:pt>
                <c:pt idx="20">
                  <c:v>44105</c:v>
                </c:pt>
                <c:pt idx="21">
                  <c:v>44136</c:v>
                </c:pt>
                <c:pt idx="22">
                  <c:v>44166</c:v>
                </c:pt>
                <c:pt idx="23">
                  <c:v>44197</c:v>
                </c:pt>
                <c:pt idx="24">
                  <c:v>44228</c:v>
                </c:pt>
                <c:pt idx="25">
                  <c:v>44256</c:v>
                </c:pt>
                <c:pt idx="26">
                  <c:v>44287</c:v>
                </c:pt>
                <c:pt idx="27">
                  <c:v>44317</c:v>
                </c:pt>
                <c:pt idx="28">
                  <c:v>44348</c:v>
                </c:pt>
                <c:pt idx="29">
                  <c:v>44378</c:v>
                </c:pt>
                <c:pt idx="30">
                  <c:v>44409</c:v>
                </c:pt>
                <c:pt idx="31">
                  <c:v>44440</c:v>
                </c:pt>
                <c:pt idx="32">
                  <c:v>44470</c:v>
                </c:pt>
                <c:pt idx="33">
                  <c:v>44501</c:v>
                </c:pt>
                <c:pt idx="34">
                  <c:v>44531</c:v>
                </c:pt>
                <c:pt idx="35">
                  <c:v>44562</c:v>
                </c:pt>
                <c:pt idx="36">
                  <c:v>44593</c:v>
                </c:pt>
                <c:pt idx="37">
                  <c:v>44621</c:v>
                </c:pt>
                <c:pt idx="38">
                  <c:v>44652</c:v>
                </c:pt>
                <c:pt idx="39">
                  <c:v>44682</c:v>
                </c:pt>
                <c:pt idx="40">
                  <c:v>44713</c:v>
                </c:pt>
                <c:pt idx="41">
                  <c:v>44743</c:v>
                </c:pt>
                <c:pt idx="42">
                  <c:v>44774</c:v>
                </c:pt>
                <c:pt idx="43">
                  <c:v>44805</c:v>
                </c:pt>
                <c:pt idx="44">
                  <c:v>44835</c:v>
                </c:pt>
                <c:pt idx="45">
                  <c:v>44866</c:v>
                </c:pt>
                <c:pt idx="46">
                  <c:v>44896</c:v>
                </c:pt>
                <c:pt idx="47">
                  <c:v>44927</c:v>
                </c:pt>
                <c:pt idx="48">
                  <c:v>44958</c:v>
                </c:pt>
                <c:pt idx="49">
                  <c:v>44986</c:v>
                </c:pt>
                <c:pt idx="50">
                  <c:v>45017</c:v>
                </c:pt>
                <c:pt idx="51">
                  <c:v>45047</c:v>
                </c:pt>
              </c:numCache>
            </c:numRef>
          </c:cat>
          <c:val>
            <c:numRef>
              <c:f>Question_4!$Z$5:$Z$56</c:f>
              <c:numCache>
                <c:formatCode>0.00%</c:formatCode>
                <c:ptCount val="52"/>
                <c:pt idx="0">
                  <c:v>5.1994301994301884E-2</c:v>
                </c:pt>
                <c:pt idx="1">
                  <c:v>5.0955414012738842E-2</c:v>
                </c:pt>
                <c:pt idx="2">
                  <c:v>4.9295774647887258E-2</c:v>
                </c:pt>
                <c:pt idx="3">
                  <c:v>4.8184357541899425E-2</c:v>
                </c:pt>
                <c:pt idx="4">
                  <c:v>4.842105263157892E-2</c:v>
                </c:pt>
                <c:pt idx="5">
                  <c:v>4.8746518105849512E-2</c:v>
                </c:pt>
                <c:pt idx="6">
                  <c:v>4.8409405255878335E-2</c:v>
                </c:pt>
                <c:pt idx="7">
                  <c:v>4.7487955953200212E-2</c:v>
                </c:pt>
                <c:pt idx="8">
                  <c:v>4.1524846834581242E-2</c:v>
                </c:pt>
                <c:pt idx="9">
                  <c:v>4.4928522804629001E-2</c:v>
                </c:pt>
                <c:pt idx="10">
                  <c:v>4.3003412969283339E-2</c:v>
                </c:pt>
                <c:pt idx="11">
                  <c:v>4.1976980365606043E-2</c:v>
                </c:pt>
                <c:pt idx="12">
                  <c:v>4.2424242424242475E-2</c:v>
                </c:pt>
                <c:pt idx="13">
                  <c:v>3.691275167785224E-2</c:v>
                </c:pt>
                <c:pt idx="14">
                  <c:v>0</c:v>
                </c:pt>
                <c:pt idx="15">
                  <c:v>3.3644237175216585E-2</c:v>
                </c:pt>
                <c:pt idx="16">
                  <c:v>3.5475234270414768E-2</c:v>
                </c:pt>
                <c:pt idx="17">
                  <c:v>2.7224435590969431E-2</c:v>
                </c:pt>
                <c:pt idx="18">
                  <c:v>2.5725593667546232E-2</c:v>
                </c:pt>
                <c:pt idx="19">
                  <c:v>2.6938239159001398E-2</c:v>
                </c:pt>
                <c:pt idx="20">
                  <c:v>2.2875816993463971E-2</c:v>
                </c:pt>
                <c:pt idx="21">
                  <c:v>2.931596091205213E-2</c:v>
                </c:pt>
                <c:pt idx="22">
                  <c:v>3.6649214659685736E-2</c:v>
                </c:pt>
                <c:pt idx="23">
                  <c:v>2.4691358024691246E-2</c:v>
                </c:pt>
                <c:pt idx="24">
                  <c:v>3.2299741602067167E-2</c:v>
                </c:pt>
                <c:pt idx="25">
                  <c:v>3.4951456310679641E-2</c:v>
                </c:pt>
                <c:pt idx="26">
                  <c:v>3.7275064267352276E-2</c:v>
                </c:pt>
                <c:pt idx="27">
                  <c:v>4.1572671608121059E-2</c:v>
                </c:pt>
                <c:pt idx="28">
                  <c:v>3.749191984486111E-2</c:v>
                </c:pt>
                <c:pt idx="29">
                  <c:v>4.3956043956044022E-2</c:v>
                </c:pt>
                <c:pt idx="30">
                  <c:v>4.2443729903536953E-2</c:v>
                </c:pt>
                <c:pt idx="31">
                  <c:v>3.7108125399871961E-2</c:v>
                </c:pt>
                <c:pt idx="32">
                  <c:v>4.5367412140574936E-2</c:v>
                </c:pt>
                <c:pt idx="33">
                  <c:v>3.9240506329113911E-2</c:v>
                </c:pt>
                <c:pt idx="34">
                  <c:v>3.1565656565656575E-2</c:v>
                </c:pt>
                <c:pt idx="35">
                  <c:v>4.3119847812301826E-2</c:v>
                </c:pt>
                <c:pt idx="36">
                  <c:v>3.5669586983729573E-2</c:v>
                </c:pt>
                <c:pt idx="37">
                  <c:v>3.3771106941838713E-2</c:v>
                </c:pt>
                <c:pt idx="38">
                  <c:v>3.4696406443618377E-2</c:v>
                </c:pt>
                <c:pt idx="39">
                  <c:v>3.6509900990099098E-2</c:v>
                </c:pt>
                <c:pt idx="40">
                  <c:v>3.9252336448598157E-2</c:v>
                </c:pt>
                <c:pt idx="41">
                  <c:v>3.900928792569669E-2</c:v>
                </c:pt>
                <c:pt idx="42">
                  <c:v>4.256631708821712E-2</c:v>
                </c:pt>
                <c:pt idx="43">
                  <c:v>4.5650832819247311E-2</c:v>
                </c:pt>
                <c:pt idx="44">
                  <c:v>4.6454767726161306E-2</c:v>
                </c:pt>
                <c:pt idx="45">
                  <c:v>4.628501827040199E-2</c:v>
                </c:pt>
                <c:pt idx="46">
                  <c:v>4.4675642594859122E-2</c:v>
                </c:pt>
                <c:pt idx="47">
                  <c:v>4.6200607902735502E-2</c:v>
                </c:pt>
                <c:pt idx="48">
                  <c:v>4.8338368580060465E-2</c:v>
                </c:pt>
                <c:pt idx="49">
                  <c:v>4.960677555958859E-2</c:v>
                </c:pt>
                <c:pt idx="50">
                  <c:v>4.9101796407185594E-2</c:v>
                </c:pt>
                <c:pt idx="51">
                  <c:v>4.8358208955223914E-2</c:v>
                </c:pt>
              </c:numCache>
            </c:numRef>
          </c:val>
          <c:smooth val="0"/>
          <c:extLst>
            <c:ext xmlns:c16="http://schemas.microsoft.com/office/drawing/2014/chart" uri="{C3380CC4-5D6E-409C-BE32-E72D297353CC}">
              <c16:uniqueId val="{00000006-23BA-4FC9-BBEE-FC2B4E2077C3}"/>
            </c:ext>
          </c:extLst>
        </c:ser>
        <c:ser>
          <c:idx val="7"/>
          <c:order val="7"/>
          <c:tx>
            <c:strRef>
              <c:f>Question_4!$AB$4</c:f>
              <c:strCache>
                <c:ptCount val="1"/>
                <c:pt idx="0">
                  <c:v>Pan, tobacco and intoxicants Inflation %</c:v>
                </c:pt>
              </c:strCache>
            </c:strRef>
          </c:tx>
          <c:spPr>
            <a:ln w="28575" cap="rnd">
              <a:solidFill>
                <a:schemeClr val="accent2">
                  <a:lumMod val="60000"/>
                </a:schemeClr>
              </a:solidFill>
              <a:round/>
            </a:ln>
            <a:effectLst/>
          </c:spPr>
          <c:marker>
            <c:symbol val="none"/>
          </c:marker>
          <c:cat>
            <c:numRef>
              <c:f>Question_4!$L$5:$L$56</c:f>
              <c:numCache>
                <c:formatCode>mmm/yyyy</c:formatCode>
                <c:ptCount val="52"/>
                <c:pt idx="0">
                  <c:v>43466</c:v>
                </c:pt>
                <c:pt idx="1">
                  <c:v>43497</c:v>
                </c:pt>
                <c:pt idx="2">
                  <c:v>43525</c:v>
                </c:pt>
                <c:pt idx="3">
                  <c:v>43586</c:v>
                </c:pt>
                <c:pt idx="4">
                  <c:v>43617</c:v>
                </c:pt>
                <c:pt idx="5">
                  <c:v>43647</c:v>
                </c:pt>
                <c:pt idx="6">
                  <c:v>43678</c:v>
                </c:pt>
                <c:pt idx="7">
                  <c:v>43709</c:v>
                </c:pt>
                <c:pt idx="8">
                  <c:v>43739</c:v>
                </c:pt>
                <c:pt idx="9">
                  <c:v>43770</c:v>
                </c:pt>
                <c:pt idx="10">
                  <c:v>43800</c:v>
                </c:pt>
                <c:pt idx="11">
                  <c:v>43831</c:v>
                </c:pt>
                <c:pt idx="12">
                  <c:v>43862</c:v>
                </c:pt>
                <c:pt idx="13">
                  <c:v>43891</c:v>
                </c:pt>
                <c:pt idx="14">
                  <c:v>43922</c:v>
                </c:pt>
                <c:pt idx="15">
                  <c:v>43952</c:v>
                </c:pt>
                <c:pt idx="16">
                  <c:v>43983</c:v>
                </c:pt>
                <c:pt idx="17">
                  <c:v>44013</c:v>
                </c:pt>
                <c:pt idx="18">
                  <c:v>44044</c:v>
                </c:pt>
                <c:pt idx="19">
                  <c:v>44075</c:v>
                </c:pt>
                <c:pt idx="20">
                  <c:v>44105</c:v>
                </c:pt>
                <c:pt idx="21">
                  <c:v>44136</c:v>
                </c:pt>
                <c:pt idx="22">
                  <c:v>44166</c:v>
                </c:pt>
                <c:pt idx="23">
                  <c:v>44197</c:v>
                </c:pt>
                <c:pt idx="24">
                  <c:v>44228</c:v>
                </c:pt>
                <c:pt idx="25">
                  <c:v>44256</c:v>
                </c:pt>
                <c:pt idx="26">
                  <c:v>44287</c:v>
                </c:pt>
                <c:pt idx="27">
                  <c:v>44317</c:v>
                </c:pt>
                <c:pt idx="28">
                  <c:v>44348</c:v>
                </c:pt>
                <c:pt idx="29">
                  <c:v>44378</c:v>
                </c:pt>
                <c:pt idx="30">
                  <c:v>44409</c:v>
                </c:pt>
                <c:pt idx="31">
                  <c:v>44440</c:v>
                </c:pt>
                <c:pt idx="32">
                  <c:v>44470</c:v>
                </c:pt>
                <c:pt idx="33">
                  <c:v>44501</c:v>
                </c:pt>
                <c:pt idx="34">
                  <c:v>44531</c:v>
                </c:pt>
                <c:pt idx="35">
                  <c:v>44562</c:v>
                </c:pt>
                <c:pt idx="36">
                  <c:v>44593</c:v>
                </c:pt>
                <c:pt idx="37">
                  <c:v>44621</c:v>
                </c:pt>
                <c:pt idx="38">
                  <c:v>44652</c:v>
                </c:pt>
                <c:pt idx="39">
                  <c:v>44682</c:v>
                </c:pt>
                <c:pt idx="40">
                  <c:v>44713</c:v>
                </c:pt>
                <c:pt idx="41">
                  <c:v>44743</c:v>
                </c:pt>
                <c:pt idx="42">
                  <c:v>44774</c:v>
                </c:pt>
                <c:pt idx="43">
                  <c:v>44805</c:v>
                </c:pt>
                <c:pt idx="44">
                  <c:v>44835</c:v>
                </c:pt>
                <c:pt idx="45">
                  <c:v>44866</c:v>
                </c:pt>
                <c:pt idx="46">
                  <c:v>44896</c:v>
                </c:pt>
                <c:pt idx="47">
                  <c:v>44927</c:v>
                </c:pt>
                <c:pt idx="48">
                  <c:v>44958</c:v>
                </c:pt>
                <c:pt idx="49">
                  <c:v>44986</c:v>
                </c:pt>
                <c:pt idx="50">
                  <c:v>45017</c:v>
                </c:pt>
                <c:pt idx="51">
                  <c:v>45047</c:v>
                </c:pt>
              </c:numCache>
            </c:numRef>
          </c:cat>
          <c:val>
            <c:numRef>
              <c:f>Question_4!$AB$5:$AB$56</c:f>
              <c:numCache>
                <c:formatCode>0.00%</c:formatCode>
                <c:ptCount val="52"/>
                <c:pt idx="0">
                  <c:v>5.4945054945054972E-2</c:v>
                </c:pt>
                <c:pt idx="1">
                  <c:v>5.4874112330535851E-2</c:v>
                </c:pt>
                <c:pt idx="2">
                  <c:v>4.606525911708248E-2</c:v>
                </c:pt>
                <c:pt idx="3">
                  <c:v>3.9265357821405944E-2</c:v>
                </c:pt>
                <c:pt idx="4">
                  <c:v>4.1692987997473008E-2</c:v>
                </c:pt>
                <c:pt idx="5">
                  <c:v>4.888888888888876E-2</c:v>
                </c:pt>
                <c:pt idx="6">
                  <c:v>5.0031665611146359E-2</c:v>
                </c:pt>
                <c:pt idx="7">
                  <c:v>4.5854271356783993E-2</c:v>
                </c:pt>
                <c:pt idx="8">
                  <c:v>2.7675276752767486E-2</c:v>
                </c:pt>
                <c:pt idx="9">
                  <c:v>3.2595325953259646E-2</c:v>
                </c:pt>
                <c:pt idx="10">
                  <c:v>3.3742331288343586E-2</c:v>
                </c:pt>
                <c:pt idx="11">
                  <c:v>3.6764705882353033E-2</c:v>
                </c:pt>
                <c:pt idx="12">
                  <c:v>4.1003671970624156E-2</c:v>
                </c:pt>
                <c:pt idx="13">
                  <c:v>4.70948012232415E-2</c:v>
                </c:pt>
                <c:pt idx="14">
                  <c:v>0</c:v>
                </c:pt>
                <c:pt idx="15">
                  <c:v>9.323583180987205E-2</c:v>
                </c:pt>
                <c:pt idx="16">
                  <c:v>0.11279563371740453</c:v>
                </c:pt>
                <c:pt idx="17">
                  <c:v>0.11077481840193704</c:v>
                </c:pt>
                <c:pt idx="18">
                  <c:v>0.1013268998793726</c:v>
                </c:pt>
                <c:pt idx="19">
                  <c:v>0.10750750750750759</c:v>
                </c:pt>
                <c:pt idx="20">
                  <c:v>0.10293237582286063</c:v>
                </c:pt>
                <c:pt idx="21">
                  <c:v>0.10065515187611673</c:v>
                </c:pt>
                <c:pt idx="22">
                  <c:v>0.10029673590504462</c:v>
                </c:pt>
                <c:pt idx="23">
                  <c:v>0.10224586288416093</c:v>
                </c:pt>
                <c:pt idx="24">
                  <c:v>0.10699588477366273</c:v>
                </c:pt>
                <c:pt idx="25">
                  <c:v>9.8714953271028083E-2</c:v>
                </c:pt>
                <c:pt idx="26">
                  <c:v>7.7010838562464379E-2</c:v>
                </c:pt>
                <c:pt idx="27">
                  <c:v>6.9676700111482637E-2</c:v>
                </c:pt>
                <c:pt idx="28">
                  <c:v>3.9782016348773874E-2</c:v>
                </c:pt>
                <c:pt idx="29">
                  <c:v>4.1961852861035265E-2</c:v>
                </c:pt>
                <c:pt idx="30">
                  <c:v>5.2026286966045943E-2</c:v>
                </c:pt>
                <c:pt idx="31">
                  <c:v>4.1757049891540055E-2</c:v>
                </c:pt>
                <c:pt idx="32">
                  <c:v>4.557786218122617E-2</c:v>
                </c:pt>
                <c:pt idx="33">
                  <c:v>4.3831168831168776E-2</c:v>
                </c:pt>
                <c:pt idx="34">
                  <c:v>3.7756202804746453E-2</c:v>
                </c:pt>
                <c:pt idx="35">
                  <c:v>3.0563002680965123E-2</c:v>
                </c:pt>
                <c:pt idx="36">
                  <c:v>2.3898035050451405E-2</c:v>
                </c:pt>
                <c:pt idx="37">
                  <c:v>2.9771398192450782E-2</c:v>
                </c:pt>
                <c:pt idx="38">
                  <c:v>2.7012711864406791E-2</c:v>
                </c:pt>
                <c:pt idx="39">
                  <c:v>1.1464304325169206E-2</c:v>
                </c:pt>
                <c:pt idx="40">
                  <c:v>1.8343815513626849E-2</c:v>
                </c:pt>
                <c:pt idx="41">
                  <c:v>1.778242677824271E-2</c:v>
                </c:pt>
                <c:pt idx="42">
                  <c:v>1.5096304008328953E-2</c:v>
                </c:pt>
                <c:pt idx="43">
                  <c:v>1.9781363872982904E-2</c:v>
                </c:pt>
                <c:pt idx="44">
                  <c:v>1.8681888946549208E-2</c:v>
                </c:pt>
                <c:pt idx="45">
                  <c:v>2.0736132711249411E-2</c:v>
                </c:pt>
                <c:pt idx="46">
                  <c:v>2.5467775467775455E-2</c:v>
                </c:pt>
                <c:pt idx="47">
                  <c:v>3.1217481789802326E-2</c:v>
                </c:pt>
                <c:pt idx="48">
                  <c:v>3.4751037344398217E-2</c:v>
                </c:pt>
                <c:pt idx="49">
                  <c:v>2.994321115126497E-2</c:v>
                </c:pt>
                <c:pt idx="50">
                  <c:v>3.4553893759669885E-2</c:v>
                </c:pt>
                <c:pt idx="51">
                  <c:v>3.5548686244204042E-2</c:v>
                </c:pt>
              </c:numCache>
            </c:numRef>
          </c:val>
          <c:smooth val="0"/>
          <c:extLst>
            <c:ext xmlns:c16="http://schemas.microsoft.com/office/drawing/2014/chart" uri="{C3380CC4-5D6E-409C-BE32-E72D297353CC}">
              <c16:uniqueId val="{00000007-23BA-4FC9-BBEE-FC2B4E2077C3}"/>
            </c:ext>
          </c:extLst>
        </c:ser>
        <c:ser>
          <c:idx val="8"/>
          <c:order val="8"/>
          <c:tx>
            <c:strRef>
              <c:f>Question_4!$AD$4</c:f>
              <c:strCache>
                <c:ptCount val="1"/>
                <c:pt idx="0">
                  <c:v>Education Inflation %</c:v>
                </c:pt>
              </c:strCache>
            </c:strRef>
          </c:tx>
          <c:spPr>
            <a:ln w="28575" cap="rnd">
              <a:solidFill>
                <a:schemeClr val="accent3">
                  <a:lumMod val="60000"/>
                </a:schemeClr>
              </a:solidFill>
              <a:round/>
            </a:ln>
            <a:effectLst/>
          </c:spPr>
          <c:marker>
            <c:symbol val="none"/>
          </c:marker>
          <c:cat>
            <c:numRef>
              <c:f>Question_4!$L$5:$L$56</c:f>
              <c:numCache>
                <c:formatCode>mmm/yyyy</c:formatCode>
                <c:ptCount val="52"/>
                <c:pt idx="0">
                  <c:v>43466</c:v>
                </c:pt>
                <c:pt idx="1">
                  <c:v>43497</c:v>
                </c:pt>
                <c:pt idx="2">
                  <c:v>43525</c:v>
                </c:pt>
                <c:pt idx="3">
                  <c:v>43586</c:v>
                </c:pt>
                <c:pt idx="4">
                  <c:v>43617</c:v>
                </c:pt>
                <c:pt idx="5">
                  <c:v>43647</c:v>
                </c:pt>
                <c:pt idx="6">
                  <c:v>43678</c:v>
                </c:pt>
                <c:pt idx="7">
                  <c:v>43709</c:v>
                </c:pt>
                <c:pt idx="8">
                  <c:v>43739</c:v>
                </c:pt>
                <c:pt idx="9">
                  <c:v>43770</c:v>
                </c:pt>
                <c:pt idx="10">
                  <c:v>43800</c:v>
                </c:pt>
                <c:pt idx="11">
                  <c:v>43831</c:v>
                </c:pt>
                <c:pt idx="12">
                  <c:v>43862</c:v>
                </c:pt>
                <c:pt idx="13">
                  <c:v>43891</c:v>
                </c:pt>
                <c:pt idx="14">
                  <c:v>43922</c:v>
                </c:pt>
                <c:pt idx="15">
                  <c:v>43952</c:v>
                </c:pt>
                <c:pt idx="16">
                  <c:v>43983</c:v>
                </c:pt>
                <c:pt idx="17">
                  <c:v>44013</c:v>
                </c:pt>
                <c:pt idx="18">
                  <c:v>44044</c:v>
                </c:pt>
                <c:pt idx="19">
                  <c:v>44075</c:v>
                </c:pt>
                <c:pt idx="20">
                  <c:v>44105</c:v>
                </c:pt>
                <c:pt idx="21">
                  <c:v>44136</c:v>
                </c:pt>
                <c:pt idx="22">
                  <c:v>44166</c:v>
                </c:pt>
                <c:pt idx="23">
                  <c:v>44197</c:v>
                </c:pt>
                <c:pt idx="24">
                  <c:v>44228</c:v>
                </c:pt>
                <c:pt idx="25">
                  <c:v>44256</c:v>
                </c:pt>
                <c:pt idx="26">
                  <c:v>44287</c:v>
                </c:pt>
                <c:pt idx="27">
                  <c:v>44317</c:v>
                </c:pt>
                <c:pt idx="28">
                  <c:v>44348</c:v>
                </c:pt>
                <c:pt idx="29">
                  <c:v>44378</c:v>
                </c:pt>
                <c:pt idx="30">
                  <c:v>44409</c:v>
                </c:pt>
                <c:pt idx="31">
                  <c:v>44440</c:v>
                </c:pt>
                <c:pt idx="32">
                  <c:v>44470</c:v>
                </c:pt>
                <c:pt idx="33">
                  <c:v>44501</c:v>
                </c:pt>
                <c:pt idx="34">
                  <c:v>44531</c:v>
                </c:pt>
                <c:pt idx="35">
                  <c:v>44562</c:v>
                </c:pt>
                <c:pt idx="36">
                  <c:v>44593</c:v>
                </c:pt>
                <c:pt idx="37">
                  <c:v>44621</c:v>
                </c:pt>
                <c:pt idx="38">
                  <c:v>44652</c:v>
                </c:pt>
                <c:pt idx="39">
                  <c:v>44682</c:v>
                </c:pt>
                <c:pt idx="40">
                  <c:v>44713</c:v>
                </c:pt>
                <c:pt idx="41">
                  <c:v>44743</c:v>
                </c:pt>
                <c:pt idx="42">
                  <c:v>44774</c:v>
                </c:pt>
                <c:pt idx="43">
                  <c:v>44805</c:v>
                </c:pt>
                <c:pt idx="44">
                  <c:v>44835</c:v>
                </c:pt>
                <c:pt idx="45">
                  <c:v>44866</c:v>
                </c:pt>
                <c:pt idx="46">
                  <c:v>44896</c:v>
                </c:pt>
                <c:pt idx="47">
                  <c:v>44927</c:v>
                </c:pt>
                <c:pt idx="48">
                  <c:v>44958</c:v>
                </c:pt>
                <c:pt idx="49">
                  <c:v>44986</c:v>
                </c:pt>
                <c:pt idx="50">
                  <c:v>45017</c:v>
                </c:pt>
                <c:pt idx="51">
                  <c:v>45047</c:v>
                </c:pt>
              </c:numCache>
            </c:numRef>
          </c:cat>
          <c:val>
            <c:numRef>
              <c:f>Question_4!$AD$5:$AD$56</c:f>
              <c:numCache>
                <c:formatCode>0.00%</c:formatCode>
                <c:ptCount val="52"/>
                <c:pt idx="0">
                  <c:v>8.0575539568345178E-2</c:v>
                </c:pt>
                <c:pt idx="1">
                  <c:v>8.1294964028777006E-2</c:v>
                </c:pt>
                <c:pt idx="2">
                  <c:v>7.510729613733913E-2</c:v>
                </c:pt>
                <c:pt idx="3">
                  <c:v>6.6854327938071778E-2</c:v>
                </c:pt>
                <c:pt idx="4">
                  <c:v>6.792717086834732E-2</c:v>
                </c:pt>
                <c:pt idx="5">
                  <c:v>6.4270905321354599E-2</c:v>
                </c:pt>
                <c:pt idx="6">
                  <c:v>6.095890410958904E-2</c:v>
                </c:pt>
                <c:pt idx="7">
                  <c:v>6.1559507523939905E-2</c:v>
                </c:pt>
                <c:pt idx="8">
                  <c:v>5.1420838971583116E-2</c:v>
                </c:pt>
                <c:pt idx="9">
                  <c:v>5.2097428958051362E-2</c:v>
                </c:pt>
                <c:pt idx="10">
                  <c:v>3.730846102598262E-2</c:v>
                </c:pt>
                <c:pt idx="11">
                  <c:v>3.9280958721704451E-2</c:v>
                </c:pt>
                <c:pt idx="12">
                  <c:v>3.9254823685961338E-2</c:v>
                </c:pt>
                <c:pt idx="13">
                  <c:v>3.8589487691284008E-2</c:v>
                </c:pt>
                <c:pt idx="14">
                  <c:v>0</c:v>
                </c:pt>
                <c:pt idx="15">
                  <c:v>3.0804749340369586E-2</c:v>
                </c:pt>
                <c:pt idx="16">
                  <c:v>2.5573770491803316E-2</c:v>
                </c:pt>
                <c:pt idx="17">
                  <c:v>1.558441558441559E-2</c:v>
                </c:pt>
                <c:pt idx="18">
                  <c:v>2.3240800516462157E-2</c:v>
                </c:pt>
                <c:pt idx="19">
                  <c:v>1.4819587628866149E-2</c:v>
                </c:pt>
                <c:pt idx="20">
                  <c:v>1.9948519948519872E-2</c:v>
                </c:pt>
                <c:pt idx="21">
                  <c:v>1.9935691318327953E-2</c:v>
                </c:pt>
                <c:pt idx="22">
                  <c:v>2.3763648041104757E-2</c:v>
                </c:pt>
                <c:pt idx="23">
                  <c:v>1.985906470211396E-2</c:v>
                </c:pt>
                <c:pt idx="24">
                  <c:v>2.1126760563380254E-2</c:v>
                </c:pt>
                <c:pt idx="25">
                  <c:v>2.6265214606021825E-2</c:v>
                </c:pt>
                <c:pt idx="26">
                  <c:v>2.6248399487836194E-2</c:v>
                </c:pt>
                <c:pt idx="27">
                  <c:v>3.1547961860881601E-2</c:v>
                </c:pt>
                <c:pt idx="28">
                  <c:v>3.3887468030690426E-2</c:v>
                </c:pt>
                <c:pt idx="29">
                  <c:v>4.3478260869565188E-2</c:v>
                </c:pt>
                <c:pt idx="30">
                  <c:v>3.3438485804416551E-2</c:v>
                </c:pt>
                <c:pt idx="31">
                  <c:v>3.936507936507927E-2</c:v>
                </c:pt>
                <c:pt idx="32">
                  <c:v>3.4069400630914792E-2</c:v>
                </c:pt>
                <c:pt idx="33">
                  <c:v>3.5939470365699888E-2</c:v>
                </c:pt>
                <c:pt idx="34">
                  <c:v>3.1367628607277265E-2</c:v>
                </c:pt>
                <c:pt idx="35">
                  <c:v>3.4547738693467389E-2</c:v>
                </c:pt>
                <c:pt idx="36">
                  <c:v>3.699059561128526E-2</c:v>
                </c:pt>
                <c:pt idx="37">
                  <c:v>3.6204744069912698E-2</c:v>
                </c:pt>
                <c:pt idx="38">
                  <c:v>4.1172800998128478E-2</c:v>
                </c:pt>
                <c:pt idx="39">
                  <c:v>4.1563275434243208E-2</c:v>
                </c:pt>
                <c:pt idx="40">
                  <c:v>4.5145330859616584E-2</c:v>
                </c:pt>
                <c:pt idx="41">
                  <c:v>5.024509803921573E-2</c:v>
                </c:pt>
                <c:pt idx="42">
                  <c:v>5.189255189255193E-2</c:v>
                </c:pt>
                <c:pt idx="43">
                  <c:v>5.7422113622480175E-2</c:v>
                </c:pt>
                <c:pt idx="44">
                  <c:v>5.7962172056131855E-2</c:v>
                </c:pt>
                <c:pt idx="45">
                  <c:v>5.7212416311624992E-2</c:v>
                </c:pt>
                <c:pt idx="46">
                  <c:v>5.9002433090024287E-2</c:v>
                </c:pt>
                <c:pt idx="47">
                  <c:v>5.8287795992714164E-2</c:v>
                </c:pt>
                <c:pt idx="48">
                  <c:v>5.8041112454655375E-2</c:v>
                </c:pt>
                <c:pt idx="49">
                  <c:v>5.4216867469879526E-2</c:v>
                </c:pt>
                <c:pt idx="50">
                  <c:v>5.6920311563810611E-2</c:v>
                </c:pt>
                <c:pt idx="51">
                  <c:v>5.4794520547945202E-2</c:v>
                </c:pt>
              </c:numCache>
            </c:numRef>
          </c:val>
          <c:smooth val="0"/>
          <c:extLst>
            <c:ext xmlns:c16="http://schemas.microsoft.com/office/drawing/2014/chart" uri="{C3380CC4-5D6E-409C-BE32-E72D297353CC}">
              <c16:uniqueId val="{00000008-23BA-4FC9-BBEE-FC2B4E2077C3}"/>
            </c:ext>
          </c:extLst>
        </c:ser>
        <c:dLbls>
          <c:showLegendKey val="0"/>
          <c:showVal val="0"/>
          <c:showCatName val="0"/>
          <c:showSerName val="0"/>
          <c:showPercent val="0"/>
          <c:showBubbleSize val="0"/>
        </c:dLbls>
        <c:smooth val="0"/>
        <c:axId val="780524224"/>
        <c:axId val="544795920"/>
      </c:lineChart>
      <c:dateAx>
        <c:axId val="780524224"/>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795920"/>
        <c:crosses val="autoZero"/>
        <c:auto val="1"/>
        <c:lblOffset val="100"/>
        <c:baseTimeUnit val="months"/>
      </c:dateAx>
      <c:valAx>
        <c:axId val="544795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524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ustomXml" Target="../ink/ink3.xml"/><Relationship Id="rId18" Type="http://schemas.openxmlformats.org/officeDocument/2006/relationships/image" Target="../media/image7.png"/><Relationship Id="rId26" Type="http://schemas.openxmlformats.org/officeDocument/2006/relationships/image" Target="../media/image2.png"/><Relationship Id="rId3" Type="http://schemas.openxmlformats.org/officeDocument/2006/relationships/chart" Target="../charts/chart3.xml"/><Relationship Id="rId21" Type="http://schemas.openxmlformats.org/officeDocument/2006/relationships/customXml" Target="../ink/ink7.xml"/><Relationship Id="rId12" Type="http://schemas.openxmlformats.org/officeDocument/2006/relationships/image" Target="../media/image4.png"/><Relationship Id="rId17" Type="http://schemas.openxmlformats.org/officeDocument/2006/relationships/customXml" Target="../ink/ink5.xml"/><Relationship Id="rId25" Type="http://schemas.openxmlformats.org/officeDocument/2006/relationships/customXml" Target="../ink/ink9.xml"/><Relationship Id="rId2" Type="http://schemas.openxmlformats.org/officeDocument/2006/relationships/chart" Target="../charts/chart2.xml"/><Relationship Id="rId16" Type="http://schemas.openxmlformats.org/officeDocument/2006/relationships/image" Target="../media/image6.png"/><Relationship Id="rId20" Type="http://schemas.openxmlformats.org/officeDocument/2006/relationships/image" Target="../media/image8.png"/><Relationship Id="rId1" Type="http://schemas.openxmlformats.org/officeDocument/2006/relationships/chart" Target="../charts/chart1.xml"/><Relationship Id="rId11" Type="http://schemas.openxmlformats.org/officeDocument/2006/relationships/customXml" Target="../ink/ink2.xml"/><Relationship Id="rId24" Type="http://schemas.openxmlformats.org/officeDocument/2006/relationships/image" Target="../media/image1.png"/><Relationship Id="rId5" Type="http://schemas.openxmlformats.org/officeDocument/2006/relationships/customXml" Target="../ink/ink1.xml"/><Relationship Id="rId15" Type="http://schemas.openxmlformats.org/officeDocument/2006/relationships/customXml" Target="../ink/ink4.xml"/><Relationship Id="rId23" Type="http://schemas.openxmlformats.org/officeDocument/2006/relationships/customXml" Target="../ink/ink8.xml"/><Relationship Id="rId10" Type="http://schemas.openxmlformats.org/officeDocument/2006/relationships/image" Target="../media/image3.png"/><Relationship Id="rId19" Type="http://schemas.openxmlformats.org/officeDocument/2006/relationships/customXml" Target="../ink/ink6.xml"/><Relationship Id="rId4" Type="http://schemas.openxmlformats.org/officeDocument/2006/relationships/chart" Target="../charts/chart4.xml"/><Relationship Id="rId14" Type="http://schemas.openxmlformats.org/officeDocument/2006/relationships/image" Target="../media/image5.png"/><Relationship Id="rId22"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14.png"/><Relationship Id="rId18" Type="http://schemas.openxmlformats.org/officeDocument/2006/relationships/customXml" Target="../ink/ink17.xml"/><Relationship Id="rId3" Type="http://schemas.openxmlformats.org/officeDocument/2006/relationships/customXml" Target="../ink/ink11.xml"/><Relationship Id="rId21" Type="http://schemas.openxmlformats.org/officeDocument/2006/relationships/image" Target="../media/image18.png"/><Relationship Id="rId7" Type="http://schemas.openxmlformats.org/officeDocument/2006/relationships/chart" Target="../charts/chart6.xml"/><Relationship Id="rId12" Type="http://schemas.openxmlformats.org/officeDocument/2006/relationships/customXml" Target="../ink/ink14.xml"/><Relationship Id="rId17" Type="http://schemas.openxmlformats.org/officeDocument/2006/relationships/image" Target="../media/image16.png"/><Relationship Id="rId2" Type="http://schemas.openxmlformats.org/officeDocument/2006/relationships/image" Target="../media/image10.png"/><Relationship Id="rId16" Type="http://schemas.openxmlformats.org/officeDocument/2006/relationships/customXml" Target="../ink/ink16.xml"/><Relationship Id="rId20" Type="http://schemas.openxmlformats.org/officeDocument/2006/relationships/customXml" Target="../ink/ink18.xml"/><Relationship Id="rId1" Type="http://schemas.openxmlformats.org/officeDocument/2006/relationships/customXml" Target="../ink/ink10.xml"/><Relationship Id="rId6" Type="http://schemas.openxmlformats.org/officeDocument/2006/relationships/image" Target="../media/image12.png"/><Relationship Id="rId11" Type="http://schemas.openxmlformats.org/officeDocument/2006/relationships/image" Target="../media/image13.png"/><Relationship Id="rId5" Type="http://schemas.openxmlformats.org/officeDocument/2006/relationships/customXml" Target="../ink/ink12.xml"/><Relationship Id="rId15" Type="http://schemas.openxmlformats.org/officeDocument/2006/relationships/image" Target="../media/image15.png"/><Relationship Id="rId10" Type="http://schemas.openxmlformats.org/officeDocument/2006/relationships/customXml" Target="../ink/ink13.xml"/><Relationship Id="rId19" Type="http://schemas.openxmlformats.org/officeDocument/2006/relationships/image" Target="../media/image17.png"/><Relationship Id="rId4" Type="http://schemas.openxmlformats.org/officeDocument/2006/relationships/image" Target="../media/image11.png"/><Relationship Id="rId9" Type="http://schemas.openxmlformats.org/officeDocument/2006/relationships/chart" Target="../charts/chart8.xml"/><Relationship Id="rId14" Type="http://schemas.openxmlformats.org/officeDocument/2006/relationships/customXml" Target="../ink/ink1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-1</xdr:colOff>
      <xdr:row>10</xdr:row>
      <xdr:rowOff>1</xdr:rowOff>
    </xdr:from>
    <xdr:to>
      <xdr:col>9</xdr:col>
      <xdr:colOff>611482</xdr:colOff>
      <xdr:row>29</xdr:row>
      <xdr:rowOff>35278</xdr:rowOff>
    </xdr:to>
    <xdr:graphicFrame macro="">
      <xdr:nvGraphicFramePr>
        <xdr:cNvPr id="4" name="Chart 3">
          <a:extLst>
            <a:ext uri="{FF2B5EF4-FFF2-40B4-BE49-F238E27FC236}">
              <a16:creationId xmlns:a16="http://schemas.microsoft.com/office/drawing/2014/main" id="{8349D56A-DCE2-DCB4-B5E6-E3AE1A87B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49804</xdr:colOff>
      <xdr:row>39</xdr:row>
      <xdr:rowOff>62256</xdr:rowOff>
    </xdr:from>
    <xdr:to>
      <xdr:col>8</xdr:col>
      <xdr:colOff>669434</xdr:colOff>
      <xdr:row>54</xdr:row>
      <xdr:rowOff>79015</xdr:rowOff>
    </xdr:to>
    <xdr:graphicFrame macro="">
      <xdr:nvGraphicFramePr>
        <xdr:cNvPr id="5" name="Chart 4">
          <a:extLst>
            <a:ext uri="{FF2B5EF4-FFF2-40B4-BE49-F238E27FC236}">
              <a16:creationId xmlns:a16="http://schemas.microsoft.com/office/drawing/2014/main" id="{1BF79F2B-50CD-415B-B1D9-EE19EE025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49804</xdr:colOff>
      <xdr:row>54</xdr:row>
      <xdr:rowOff>163386</xdr:rowOff>
    </xdr:from>
    <xdr:to>
      <xdr:col>5</xdr:col>
      <xdr:colOff>2216275</xdr:colOff>
      <xdr:row>71</xdr:row>
      <xdr:rowOff>149412</xdr:rowOff>
    </xdr:to>
    <xdr:graphicFrame macro="">
      <xdr:nvGraphicFramePr>
        <xdr:cNvPr id="7" name="Chart 6">
          <a:extLst>
            <a:ext uri="{FF2B5EF4-FFF2-40B4-BE49-F238E27FC236}">
              <a16:creationId xmlns:a16="http://schemas.microsoft.com/office/drawing/2014/main" id="{134464E5-D6A8-4404-ABE6-2D3BB986B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49333</xdr:colOff>
      <xdr:row>54</xdr:row>
      <xdr:rowOff>162334</xdr:rowOff>
    </xdr:from>
    <xdr:to>
      <xdr:col>8</xdr:col>
      <xdr:colOff>2416401</xdr:colOff>
      <xdr:row>71</xdr:row>
      <xdr:rowOff>124510</xdr:rowOff>
    </xdr:to>
    <xdr:graphicFrame macro="">
      <xdr:nvGraphicFramePr>
        <xdr:cNvPr id="15" name="Chart 14">
          <a:extLst>
            <a:ext uri="{FF2B5EF4-FFF2-40B4-BE49-F238E27FC236}">
              <a16:creationId xmlns:a16="http://schemas.microsoft.com/office/drawing/2014/main" id="{5D724FCE-9A5F-40F4-9A86-DE11F4F6D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734560</xdr:colOff>
      <xdr:row>39</xdr:row>
      <xdr:rowOff>95849</xdr:rowOff>
    </xdr:from>
    <xdr:to>
      <xdr:col>9</xdr:col>
      <xdr:colOff>65805</xdr:colOff>
      <xdr:row>47</xdr:row>
      <xdr:rowOff>3557</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AF268FD7-E027-5629-9497-3D398AC0C8A6}"/>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16842824" y="7431546"/>
              <a:ext cx="2427990" cy="1306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708288</xdr:colOff>
      <xdr:row>47</xdr:row>
      <xdr:rowOff>37353</xdr:rowOff>
    </xdr:from>
    <xdr:to>
      <xdr:col>9</xdr:col>
      <xdr:colOff>65804</xdr:colOff>
      <xdr:row>54</xdr:row>
      <xdr:rowOff>140133</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A270E15C-2769-CCBA-117F-AA3FB350750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893099" y="8675749"/>
              <a:ext cx="1675957" cy="1360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722156</xdr:colOff>
      <xdr:row>31</xdr:row>
      <xdr:rowOff>62254</xdr:rowOff>
    </xdr:from>
    <xdr:to>
      <xdr:col>9</xdr:col>
      <xdr:colOff>65805</xdr:colOff>
      <xdr:row>39</xdr:row>
      <xdr:rowOff>32194</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BE237616-0782-ABB7-5C4F-0966F862790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6830421" y="5777254"/>
              <a:ext cx="2403040" cy="15575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4896</xdr:colOff>
      <xdr:row>61</xdr:row>
      <xdr:rowOff>121165</xdr:rowOff>
    </xdr:from>
    <xdr:to>
      <xdr:col>2</xdr:col>
      <xdr:colOff>1730813</xdr:colOff>
      <xdr:row>61</xdr:row>
      <xdr:rowOff>121885</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23" name="Ink 22">
              <a:extLst>
                <a:ext uri="{FF2B5EF4-FFF2-40B4-BE49-F238E27FC236}">
                  <a16:creationId xmlns:a16="http://schemas.microsoft.com/office/drawing/2014/main" id="{CE54C052-342D-FD2D-2C4D-0E16CB1EF2F6}"/>
                </a:ext>
              </a:extLst>
            </xdr14:cNvPr>
            <xdr14:cNvContentPartPr/>
          </xdr14:nvContentPartPr>
          <xdr14:nvPr macro=""/>
          <xdr14:xfrm>
            <a:off x="2161500" y="11275599"/>
            <a:ext cx="1720387" cy="720"/>
          </xdr14:xfrm>
        </xdr:contentPart>
      </mc:Choice>
      <mc:Fallback xmlns="">
        <xdr:pic>
          <xdr:nvPicPr>
            <xdr:cNvPr id="23" name="Ink 22">
              <a:extLst>
                <a:ext uri="{FF2B5EF4-FFF2-40B4-BE49-F238E27FC236}">
                  <a16:creationId xmlns:a16="http://schemas.microsoft.com/office/drawing/2014/main" id="{CE54C052-342D-FD2D-2C4D-0E16CB1EF2F6}"/>
                </a:ext>
              </a:extLst>
            </xdr:cNvPr>
            <xdr:cNvPicPr/>
          </xdr:nvPicPr>
          <xdr:blipFill>
            <a:blip xmlns:r="http://schemas.openxmlformats.org/officeDocument/2006/relationships" r:embed="rId10"/>
            <a:stretch>
              <a:fillRect/>
            </a:stretch>
          </xdr:blipFill>
          <xdr:spPr>
            <a:xfrm>
              <a:off x="3059640" y="11582503"/>
              <a:ext cx="2360880" cy="144000"/>
            </a:xfrm>
            <a:prstGeom prst="rect">
              <a:avLst/>
            </a:prstGeom>
          </xdr:spPr>
        </xdr:pic>
      </mc:Fallback>
    </mc:AlternateContent>
    <xdr:clientData/>
  </xdr:twoCellAnchor>
  <xdr:twoCellAnchor editAs="oneCell">
    <xdr:from>
      <xdr:col>9</xdr:col>
      <xdr:colOff>371831</xdr:colOff>
      <xdr:row>64</xdr:row>
      <xdr:rowOff>136867</xdr:rowOff>
    </xdr:from>
    <xdr:to>
      <xdr:col>10</xdr:col>
      <xdr:colOff>422132</xdr:colOff>
      <xdr:row>64</xdr:row>
      <xdr:rowOff>137587</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29" name="Ink 28">
              <a:extLst>
                <a:ext uri="{FF2B5EF4-FFF2-40B4-BE49-F238E27FC236}">
                  <a16:creationId xmlns:a16="http://schemas.microsoft.com/office/drawing/2014/main" id="{BF850B16-982B-06AF-708E-CFE228A401FF}"/>
                </a:ext>
              </a:extLst>
            </xdr14:cNvPr>
            <xdr14:cNvContentPartPr/>
          </xdr14:nvContentPartPr>
          <xdr14:nvPr macro=""/>
          <xdr14:xfrm>
            <a:off x="19085655" y="12289024"/>
            <a:ext cx="1396440" cy="720"/>
          </xdr14:xfrm>
        </xdr:contentPart>
      </mc:Choice>
      <mc:Fallback xmlns="">
        <xdr:pic>
          <xdr:nvPicPr>
            <xdr:cNvPr id="29" name="Ink 28">
              <a:extLst>
                <a:ext uri="{FF2B5EF4-FFF2-40B4-BE49-F238E27FC236}">
                  <a16:creationId xmlns:a16="http://schemas.microsoft.com/office/drawing/2014/main" id="{BF850B16-982B-06AF-708E-CFE228A401FF}"/>
                </a:ext>
              </a:extLst>
            </xdr:cNvPr>
            <xdr:cNvPicPr/>
          </xdr:nvPicPr>
          <xdr:blipFill>
            <a:blip xmlns:r="http://schemas.openxmlformats.org/officeDocument/2006/relationships" r:embed="rId12"/>
            <a:stretch>
              <a:fillRect/>
            </a:stretch>
          </xdr:blipFill>
          <xdr:spPr>
            <a:xfrm>
              <a:off x="19050015" y="12217024"/>
              <a:ext cx="1468080" cy="144000"/>
            </a:xfrm>
            <a:prstGeom prst="rect">
              <a:avLst/>
            </a:prstGeom>
          </xdr:spPr>
        </xdr:pic>
      </mc:Fallback>
    </mc:AlternateContent>
    <xdr:clientData/>
  </xdr:twoCellAnchor>
  <xdr:twoCellAnchor editAs="oneCell">
    <xdr:from>
      <xdr:col>9</xdr:col>
      <xdr:colOff>360311</xdr:colOff>
      <xdr:row>63</xdr:row>
      <xdr:rowOff>74512</xdr:rowOff>
    </xdr:from>
    <xdr:to>
      <xdr:col>9</xdr:col>
      <xdr:colOff>809231</xdr:colOff>
      <xdr:row>64</xdr:row>
      <xdr:rowOff>137227</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43" name="Ink 42">
              <a:extLst>
                <a:ext uri="{FF2B5EF4-FFF2-40B4-BE49-F238E27FC236}">
                  <a16:creationId xmlns:a16="http://schemas.microsoft.com/office/drawing/2014/main" id="{ED7C1282-452B-49A8-0F87-021D917D1AAB}"/>
                </a:ext>
              </a:extLst>
            </xdr14:cNvPr>
            <xdr14:cNvContentPartPr/>
          </xdr14:nvContentPartPr>
          <xdr14:nvPr macro=""/>
          <xdr14:xfrm>
            <a:off x="19074135" y="12039904"/>
            <a:ext cx="448920" cy="249480"/>
          </xdr14:xfrm>
        </xdr:contentPart>
      </mc:Choice>
      <mc:Fallback xmlns="">
        <xdr:pic>
          <xdr:nvPicPr>
            <xdr:cNvPr id="43" name="Ink 42">
              <a:extLst>
                <a:ext uri="{FF2B5EF4-FFF2-40B4-BE49-F238E27FC236}">
                  <a16:creationId xmlns:a16="http://schemas.microsoft.com/office/drawing/2014/main" id="{ED7C1282-452B-49A8-0F87-021D917D1AAB}"/>
                </a:ext>
              </a:extLst>
            </xdr:cNvPr>
            <xdr:cNvPicPr/>
          </xdr:nvPicPr>
          <xdr:blipFill>
            <a:blip xmlns:r="http://schemas.openxmlformats.org/officeDocument/2006/relationships" r:embed="rId14"/>
            <a:stretch>
              <a:fillRect/>
            </a:stretch>
          </xdr:blipFill>
          <xdr:spPr>
            <a:xfrm>
              <a:off x="19038495" y="12004264"/>
              <a:ext cx="520560" cy="321120"/>
            </a:xfrm>
            <a:prstGeom prst="rect">
              <a:avLst/>
            </a:prstGeom>
          </xdr:spPr>
        </xdr:pic>
      </mc:Fallback>
    </mc:AlternateContent>
    <xdr:clientData/>
  </xdr:twoCellAnchor>
  <xdr:twoCellAnchor editAs="oneCell">
    <xdr:from>
      <xdr:col>9</xdr:col>
      <xdr:colOff>360311</xdr:colOff>
      <xdr:row>64</xdr:row>
      <xdr:rowOff>148747</xdr:rowOff>
    </xdr:from>
    <xdr:to>
      <xdr:col>9</xdr:col>
      <xdr:colOff>871871</xdr:colOff>
      <xdr:row>66</xdr:row>
      <xdr:rowOff>218</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46" name="Ink 45">
              <a:extLst>
                <a:ext uri="{FF2B5EF4-FFF2-40B4-BE49-F238E27FC236}">
                  <a16:creationId xmlns:a16="http://schemas.microsoft.com/office/drawing/2014/main" id="{F040B50A-C1F5-60B6-AD39-2123ADD2D54A}"/>
                </a:ext>
              </a:extLst>
            </xdr14:cNvPr>
            <xdr14:cNvContentPartPr/>
          </xdr14:nvContentPartPr>
          <xdr14:nvPr macro=""/>
          <xdr14:xfrm>
            <a:off x="19074135" y="12300904"/>
            <a:ext cx="511560" cy="225000"/>
          </xdr14:xfrm>
        </xdr:contentPart>
      </mc:Choice>
      <mc:Fallback xmlns="">
        <xdr:pic>
          <xdr:nvPicPr>
            <xdr:cNvPr id="46" name="Ink 45">
              <a:extLst>
                <a:ext uri="{FF2B5EF4-FFF2-40B4-BE49-F238E27FC236}">
                  <a16:creationId xmlns:a16="http://schemas.microsoft.com/office/drawing/2014/main" id="{F040B50A-C1F5-60B6-AD39-2123ADD2D54A}"/>
                </a:ext>
              </a:extLst>
            </xdr:cNvPr>
            <xdr:cNvPicPr/>
          </xdr:nvPicPr>
          <xdr:blipFill>
            <a:blip xmlns:r="http://schemas.openxmlformats.org/officeDocument/2006/relationships" r:embed="rId16"/>
            <a:stretch>
              <a:fillRect/>
            </a:stretch>
          </xdr:blipFill>
          <xdr:spPr>
            <a:xfrm>
              <a:off x="19038495" y="12264904"/>
              <a:ext cx="583200" cy="296640"/>
            </a:xfrm>
            <a:prstGeom prst="rect">
              <a:avLst/>
            </a:prstGeom>
          </xdr:spPr>
        </xdr:pic>
      </mc:Fallback>
    </mc:AlternateContent>
    <xdr:clientData/>
  </xdr:twoCellAnchor>
  <xdr:twoCellAnchor editAs="oneCell">
    <xdr:from>
      <xdr:col>2</xdr:col>
      <xdr:colOff>1460760</xdr:colOff>
      <xdr:row>80</xdr:row>
      <xdr:rowOff>31740</xdr:rowOff>
    </xdr:from>
    <xdr:to>
      <xdr:col>2</xdr:col>
      <xdr:colOff>1461480</xdr:colOff>
      <xdr:row>84</xdr:row>
      <xdr:rowOff>143774</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54" name="Ink 53">
              <a:extLst>
                <a:ext uri="{FF2B5EF4-FFF2-40B4-BE49-F238E27FC236}">
                  <a16:creationId xmlns:a16="http://schemas.microsoft.com/office/drawing/2014/main" id="{5D89B59F-4EDC-5BA1-6589-F759353C563E}"/>
                </a:ext>
              </a:extLst>
            </xdr14:cNvPr>
            <xdr14:cNvContentPartPr/>
          </xdr14:nvContentPartPr>
          <xdr14:nvPr macro=""/>
          <xdr14:xfrm>
            <a:off x="3617364" y="14600797"/>
            <a:ext cx="720" cy="830901"/>
          </xdr14:xfrm>
        </xdr:contentPart>
      </mc:Choice>
      <mc:Fallback xmlns="">
        <xdr:pic>
          <xdr:nvPicPr>
            <xdr:cNvPr id="54" name="Ink 53">
              <a:extLst>
                <a:ext uri="{FF2B5EF4-FFF2-40B4-BE49-F238E27FC236}">
                  <a16:creationId xmlns:a16="http://schemas.microsoft.com/office/drawing/2014/main" id="{5D89B59F-4EDC-5BA1-6589-F759353C563E}"/>
                </a:ext>
              </a:extLst>
            </xdr:cNvPr>
            <xdr:cNvPicPr/>
          </xdr:nvPicPr>
          <xdr:blipFill>
            <a:blip xmlns:r="http://schemas.openxmlformats.org/officeDocument/2006/relationships" r:embed="rId18"/>
            <a:stretch>
              <a:fillRect/>
            </a:stretch>
          </xdr:blipFill>
          <xdr:spPr>
            <a:xfrm>
              <a:off x="4055760" y="15442475"/>
              <a:ext cx="144000" cy="1119600"/>
            </a:xfrm>
            <a:prstGeom prst="rect">
              <a:avLst/>
            </a:prstGeom>
          </xdr:spPr>
        </xdr:pic>
      </mc:Fallback>
    </mc:AlternateContent>
    <xdr:clientData/>
  </xdr:twoCellAnchor>
  <xdr:twoCellAnchor editAs="oneCell">
    <xdr:from>
      <xdr:col>2</xdr:col>
      <xdr:colOff>1444200</xdr:colOff>
      <xdr:row>83</xdr:row>
      <xdr:rowOff>119040</xdr:rowOff>
    </xdr:from>
    <xdr:to>
      <xdr:col>2</xdr:col>
      <xdr:colOff>1807570</xdr:colOff>
      <xdr:row>85</xdr:row>
      <xdr:rowOff>95881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66" name="Ink 65">
              <a:extLst>
                <a:ext uri="{FF2B5EF4-FFF2-40B4-BE49-F238E27FC236}">
                  <a16:creationId xmlns:a16="http://schemas.microsoft.com/office/drawing/2014/main" id="{8A9F7C34-DBB7-584C-4BCD-337FF99CA7AC}"/>
                </a:ext>
              </a:extLst>
            </xdr14:cNvPr>
            <xdr14:cNvContentPartPr/>
          </xdr14:nvContentPartPr>
          <xdr14:nvPr macro=""/>
          <xdr14:xfrm>
            <a:off x="4111200" y="16136915"/>
            <a:ext cx="357840" cy="357840"/>
          </xdr14:xfrm>
        </xdr:contentPart>
      </mc:Choice>
      <mc:Fallback xmlns="">
        <xdr:pic>
          <xdr:nvPicPr>
            <xdr:cNvPr id="66" name="Ink 65">
              <a:extLst>
                <a:ext uri="{FF2B5EF4-FFF2-40B4-BE49-F238E27FC236}">
                  <a16:creationId xmlns:a16="http://schemas.microsoft.com/office/drawing/2014/main" id="{8A9F7C34-DBB7-584C-4BCD-337FF99CA7AC}"/>
                </a:ext>
              </a:extLst>
            </xdr:cNvPr>
            <xdr:cNvPicPr/>
          </xdr:nvPicPr>
          <xdr:blipFill>
            <a:blip xmlns:r="http://schemas.openxmlformats.org/officeDocument/2006/relationships" r:embed="rId20"/>
            <a:stretch>
              <a:fillRect/>
            </a:stretch>
          </xdr:blipFill>
          <xdr:spPr>
            <a:xfrm>
              <a:off x="4075200" y="16100915"/>
              <a:ext cx="429480" cy="429480"/>
            </a:xfrm>
            <a:prstGeom prst="rect">
              <a:avLst/>
            </a:prstGeom>
          </xdr:spPr>
        </xdr:pic>
      </mc:Fallback>
    </mc:AlternateContent>
    <xdr:clientData/>
  </xdr:twoCellAnchor>
  <xdr:twoCellAnchor editAs="oneCell">
    <xdr:from>
      <xdr:col>2</xdr:col>
      <xdr:colOff>1174200</xdr:colOff>
      <xdr:row>83</xdr:row>
      <xdr:rowOff>158640</xdr:rowOff>
    </xdr:from>
    <xdr:to>
      <xdr:col>2</xdr:col>
      <xdr:colOff>1444560</xdr:colOff>
      <xdr:row>85</xdr:row>
      <xdr:rowOff>95521</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68" name="Ink 67">
              <a:extLst>
                <a:ext uri="{FF2B5EF4-FFF2-40B4-BE49-F238E27FC236}">
                  <a16:creationId xmlns:a16="http://schemas.microsoft.com/office/drawing/2014/main" id="{ADD29D7F-FACF-BC48-5DF4-894BB8874471}"/>
                </a:ext>
              </a:extLst>
            </xdr14:cNvPr>
            <xdr14:cNvContentPartPr/>
          </xdr14:nvContentPartPr>
          <xdr14:nvPr macro=""/>
          <xdr14:xfrm>
            <a:off x="3841200" y="16176515"/>
            <a:ext cx="270360" cy="317880"/>
          </xdr14:xfrm>
        </xdr:contentPart>
      </mc:Choice>
      <mc:Fallback xmlns="">
        <xdr:pic>
          <xdr:nvPicPr>
            <xdr:cNvPr id="68" name="Ink 67">
              <a:extLst>
                <a:ext uri="{FF2B5EF4-FFF2-40B4-BE49-F238E27FC236}">
                  <a16:creationId xmlns:a16="http://schemas.microsoft.com/office/drawing/2014/main" id="{ADD29D7F-FACF-BC48-5DF4-894BB8874471}"/>
                </a:ext>
              </a:extLst>
            </xdr:cNvPr>
            <xdr:cNvPicPr/>
          </xdr:nvPicPr>
          <xdr:blipFill>
            <a:blip xmlns:r="http://schemas.openxmlformats.org/officeDocument/2006/relationships" r:embed="rId22"/>
            <a:stretch>
              <a:fillRect/>
            </a:stretch>
          </xdr:blipFill>
          <xdr:spPr>
            <a:xfrm>
              <a:off x="3805560" y="16140875"/>
              <a:ext cx="342000" cy="389520"/>
            </a:xfrm>
            <a:prstGeom prst="rect">
              <a:avLst/>
            </a:prstGeom>
          </xdr:spPr>
        </xdr:pic>
      </mc:Fallback>
    </mc:AlternateContent>
    <xdr:clientData/>
  </xdr:twoCellAnchor>
  <xdr:twoCellAnchor editAs="oneCell">
    <xdr:from>
      <xdr:col>2</xdr:col>
      <xdr:colOff>1485660</xdr:colOff>
      <xdr:row>59</xdr:row>
      <xdr:rowOff>153520</xdr:rowOff>
    </xdr:from>
    <xdr:to>
      <xdr:col>2</xdr:col>
      <xdr:colOff>1730806</xdr:colOff>
      <xdr:row>61</xdr:row>
      <xdr:rowOff>120286</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 name="Ink 12">
              <a:extLst>
                <a:ext uri="{FF2B5EF4-FFF2-40B4-BE49-F238E27FC236}">
                  <a16:creationId xmlns:a16="http://schemas.microsoft.com/office/drawing/2014/main" id="{3B50EE9F-21BA-9203-0EB7-D955351B9D5D}"/>
                </a:ext>
              </a:extLst>
            </xdr14:cNvPr>
            <xdr14:cNvContentPartPr/>
          </xdr14:nvContentPartPr>
          <xdr14:nvPr macro=""/>
          <xdr14:xfrm>
            <a:off x="3642264" y="10948520"/>
            <a:ext cx="239616" cy="326200"/>
          </xdr14:xfrm>
        </xdr:contentPart>
      </mc:Choice>
      <mc:Fallback xmlns="">
        <xdr:pic>
          <xdr:nvPicPr>
            <xdr:cNvPr id="13" name="Ink 12">
              <a:extLst>
                <a:ext uri="{FF2B5EF4-FFF2-40B4-BE49-F238E27FC236}">
                  <a16:creationId xmlns:a16="http://schemas.microsoft.com/office/drawing/2014/main" id="{3B50EE9F-21BA-9203-0EB7-D955351B9D5D}"/>
                </a:ext>
              </a:extLst>
            </xdr:cNvPr>
            <xdr:cNvPicPr/>
          </xdr:nvPicPr>
          <xdr:blipFill>
            <a:blip xmlns:r="http://schemas.openxmlformats.org/officeDocument/2006/relationships" r:embed="rId24"/>
            <a:stretch>
              <a:fillRect/>
            </a:stretch>
          </xdr:blipFill>
          <xdr:spPr>
            <a:xfrm>
              <a:off x="3606645" y="10912516"/>
              <a:ext cx="311213" cy="397849"/>
            </a:xfrm>
            <a:prstGeom prst="rect">
              <a:avLst/>
            </a:prstGeom>
          </xdr:spPr>
        </xdr:pic>
      </mc:Fallback>
    </mc:AlternateContent>
    <xdr:clientData/>
  </xdr:twoCellAnchor>
  <xdr:twoCellAnchor editAs="oneCell">
    <xdr:from>
      <xdr:col>2</xdr:col>
      <xdr:colOff>1449156</xdr:colOff>
      <xdr:row>61</xdr:row>
      <xdr:rowOff>155566</xdr:rowOff>
    </xdr:from>
    <xdr:to>
      <xdr:col>2</xdr:col>
      <xdr:colOff>1766806</xdr:colOff>
      <xdr:row>63</xdr:row>
      <xdr:rowOff>252</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9" name="Ink 18">
              <a:extLst>
                <a:ext uri="{FF2B5EF4-FFF2-40B4-BE49-F238E27FC236}">
                  <a16:creationId xmlns:a16="http://schemas.microsoft.com/office/drawing/2014/main" id="{515187C8-6276-C4DF-D824-BE03C9B5364B}"/>
                </a:ext>
              </a:extLst>
            </xdr14:cNvPr>
            <xdr14:cNvContentPartPr/>
          </xdr14:nvContentPartPr>
          <xdr14:nvPr macro=""/>
          <xdr14:xfrm>
            <a:off x="3605760" y="11310000"/>
            <a:ext cx="312120" cy="204120"/>
          </xdr14:xfrm>
        </xdr:contentPart>
      </mc:Choice>
      <mc:Fallback xmlns="">
        <xdr:pic>
          <xdr:nvPicPr>
            <xdr:cNvPr id="19" name="Ink 18">
              <a:extLst>
                <a:ext uri="{FF2B5EF4-FFF2-40B4-BE49-F238E27FC236}">
                  <a16:creationId xmlns:a16="http://schemas.microsoft.com/office/drawing/2014/main" id="{515187C8-6276-C4DF-D824-BE03C9B5364B}"/>
                </a:ext>
              </a:extLst>
            </xdr:cNvPr>
            <xdr:cNvPicPr/>
          </xdr:nvPicPr>
          <xdr:blipFill>
            <a:blip xmlns:r="http://schemas.openxmlformats.org/officeDocument/2006/relationships" r:embed="rId26"/>
            <a:stretch>
              <a:fillRect/>
            </a:stretch>
          </xdr:blipFill>
          <xdr:spPr>
            <a:xfrm>
              <a:off x="3570120" y="11274360"/>
              <a:ext cx="383760" cy="27576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441440</xdr:colOff>
      <xdr:row>2</xdr:row>
      <xdr:rowOff>9333</xdr:rowOff>
    </xdr:from>
    <xdr:to>
      <xdr:col>10</xdr:col>
      <xdr:colOff>369524</xdr:colOff>
      <xdr:row>16</xdr:row>
      <xdr:rowOff>181931</xdr:rowOff>
    </xdr:to>
    <xdr:graphicFrame macro="">
      <xdr:nvGraphicFramePr>
        <xdr:cNvPr id="2" name="Chart 1">
          <a:extLst>
            <a:ext uri="{FF2B5EF4-FFF2-40B4-BE49-F238E27FC236}">
              <a16:creationId xmlns:a16="http://schemas.microsoft.com/office/drawing/2014/main" id="{AE5B43D5-2147-1B67-AAFA-CDCF58541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406740</xdr:colOff>
      <xdr:row>8</xdr:row>
      <xdr:rowOff>89530</xdr:rowOff>
    </xdr:from>
    <xdr:to>
      <xdr:col>10</xdr:col>
      <xdr:colOff>407460</xdr:colOff>
      <xdr:row>11</xdr:row>
      <xdr:rowOff>7093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3" name="Ink 12">
              <a:extLst>
                <a:ext uri="{FF2B5EF4-FFF2-40B4-BE49-F238E27FC236}">
                  <a16:creationId xmlns:a16="http://schemas.microsoft.com/office/drawing/2014/main" id="{C8664276-E591-8FE8-7A81-6A54113C9C4F}"/>
                </a:ext>
              </a:extLst>
            </xdr14:cNvPr>
            <xdr14:cNvContentPartPr/>
          </xdr14:nvContentPartPr>
          <xdr14:nvPr macro=""/>
          <xdr14:xfrm>
            <a:off x="7647120" y="1580400"/>
            <a:ext cx="720" cy="476640"/>
          </xdr14:xfrm>
        </xdr:contentPart>
      </mc:Choice>
      <mc:Fallback xmlns="">
        <xdr:pic>
          <xdr:nvPicPr>
            <xdr:cNvPr id="13" name="Ink 12">
              <a:extLst>
                <a:ext uri="{FF2B5EF4-FFF2-40B4-BE49-F238E27FC236}">
                  <a16:creationId xmlns:a16="http://schemas.microsoft.com/office/drawing/2014/main" id="{C8664276-E591-8FE8-7A81-6A54113C9C4F}"/>
                </a:ext>
              </a:extLst>
            </xdr:cNvPr>
            <xdr:cNvPicPr/>
          </xdr:nvPicPr>
          <xdr:blipFill>
            <a:blip xmlns:r="http://schemas.openxmlformats.org/officeDocument/2006/relationships" r:embed="rId2"/>
            <a:stretch>
              <a:fillRect/>
            </a:stretch>
          </xdr:blipFill>
          <xdr:spPr>
            <a:xfrm>
              <a:off x="7611120" y="1562400"/>
              <a:ext cx="72000" cy="512280"/>
            </a:xfrm>
            <a:prstGeom prst="rect">
              <a:avLst/>
            </a:prstGeom>
          </xdr:spPr>
        </xdr:pic>
      </mc:Fallback>
    </mc:AlternateContent>
    <xdr:clientData/>
  </xdr:twoCellAnchor>
  <xdr:twoCellAnchor editAs="oneCell">
    <xdr:from>
      <xdr:col>10</xdr:col>
      <xdr:colOff>406740</xdr:colOff>
      <xdr:row>10</xdr:row>
      <xdr:rowOff>6613</xdr:rowOff>
    </xdr:from>
    <xdr:to>
      <xdr:col>10</xdr:col>
      <xdr:colOff>573060</xdr:colOff>
      <xdr:row>11</xdr:row>
      <xdr:rowOff>20774</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6" name="Ink 15">
              <a:extLst>
                <a:ext uri="{FF2B5EF4-FFF2-40B4-BE49-F238E27FC236}">
                  <a16:creationId xmlns:a16="http://schemas.microsoft.com/office/drawing/2014/main" id="{D86D9CF4-B1C2-5DF3-026A-03A25FE3D5DA}"/>
                </a:ext>
              </a:extLst>
            </xdr14:cNvPr>
            <xdr14:cNvContentPartPr/>
          </xdr14:nvContentPartPr>
          <xdr14:nvPr macro=""/>
          <xdr14:xfrm>
            <a:off x="7647120" y="1870200"/>
            <a:ext cx="166320" cy="200520"/>
          </xdr14:xfrm>
        </xdr:contentPart>
      </mc:Choice>
      <mc:Fallback xmlns="">
        <xdr:pic>
          <xdr:nvPicPr>
            <xdr:cNvPr id="16" name="Ink 15">
              <a:extLst>
                <a:ext uri="{FF2B5EF4-FFF2-40B4-BE49-F238E27FC236}">
                  <a16:creationId xmlns:a16="http://schemas.microsoft.com/office/drawing/2014/main" id="{D86D9CF4-B1C2-5DF3-026A-03A25FE3D5DA}"/>
                </a:ext>
              </a:extLst>
            </xdr:cNvPr>
            <xdr:cNvPicPr/>
          </xdr:nvPicPr>
          <xdr:blipFill>
            <a:blip xmlns:r="http://schemas.openxmlformats.org/officeDocument/2006/relationships" r:embed="rId4"/>
            <a:stretch>
              <a:fillRect/>
            </a:stretch>
          </xdr:blipFill>
          <xdr:spPr>
            <a:xfrm>
              <a:off x="7629480" y="1852560"/>
              <a:ext cx="201960" cy="236160"/>
            </a:xfrm>
            <a:prstGeom prst="rect">
              <a:avLst/>
            </a:prstGeom>
          </xdr:spPr>
        </xdr:pic>
      </mc:Fallback>
    </mc:AlternateContent>
    <xdr:clientData/>
  </xdr:twoCellAnchor>
  <xdr:twoCellAnchor editAs="oneCell">
    <xdr:from>
      <xdr:col>10</xdr:col>
      <xdr:colOff>258780</xdr:colOff>
      <xdr:row>10</xdr:row>
      <xdr:rowOff>16693</xdr:rowOff>
    </xdr:from>
    <xdr:to>
      <xdr:col>10</xdr:col>
      <xdr:colOff>400620</xdr:colOff>
      <xdr:row>11</xdr:row>
      <xdr:rowOff>27614</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20" name="Ink 19">
              <a:extLst>
                <a:ext uri="{FF2B5EF4-FFF2-40B4-BE49-F238E27FC236}">
                  <a16:creationId xmlns:a16="http://schemas.microsoft.com/office/drawing/2014/main" id="{883CD218-0C86-522B-02AB-983DDDBE9651}"/>
                </a:ext>
              </a:extLst>
            </xdr14:cNvPr>
            <xdr14:cNvContentPartPr/>
          </xdr14:nvContentPartPr>
          <xdr14:nvPr macro=""/>
          <xdr14:xfrm>
            <a:off x="7499160" y="1880280"/>
            <a:ext cx="141840" cy="197280"/>
          </xdr14:xfrm>
        </xdr:contentPart>
      </mc:Choice>
      <mc:Fallback xmlns="">
        <xdr:pic>
          <xdr:nvPicPr>
            <xdr:cNvPr id="20" name="Ink 19">
              <a:extLst>
                <a:ext uri="{FF2B5EF4-FFF2-40B4-BE49-F238E27FC236}">
                  <a16:creationId xmlns:a16="http://schemas.microsoft.com/office/drawing/2014/main" id="{883CD218-0C86-522B-02AB-983DDDBE9651}"/>
                </a:ext>
              </a:extLst>
            </xdr:cNvPr>
            <xdr:cNvPicPr/>
          </xdr:nvPicPr>
          <xdr:blipFill>
            <a:blip xmlns:r="http://schemas.openxmlformats.org/officeDocument/2006/relationships" r:embed="rId6"/>
            <a:stretch>
              <a:fillRect/>
            </a:stretch>
          </xdr:blipFill>
          <xdr:spPr>
            <a:xfrm>
              <a:off x="7481160" y="1862640"/>
              <a:ext cx="177480" cy="232920"/>
            </a:xfrm>
            <a:prstGeom prst="rect">
              <a:avLst/>
            </a:prstGeom>
          </xdr:spPr>
        </xdr:pic>
      </mc:Fallback>
    </mc:AlternateContent>
    <xdr:clientData/>
  </xdr:twoCellAnchor>
  <xdr:twoCellAnchor>
    <xdr:from>
      <xdr:col>6</xdr:col>
      <xdr:colOff>181863</xdr:colOff>
      <xdr:row>83</xdr:row>
      <xdr:rowOff>166308</xdr:rowOff>
    </xdr:from>
    <xdr:to>
      <xdr:col>8</xdr:col>
      <xdr:colOff>1678214</xdr:colOff>
      <xdr:row>101</xdr:row>
      <xdr:rowOff>118389</xdr:rowOff>
    </xdr:to>
    <xdr:graphicFrame macro="">
      <xdr:nvGraphicFramePr>
        <xdr:cNvPr id="22" name="Chart 21">
          <a:extLst>
            <a:ext uri="{FF2B5EF4-FFF2-40B4-BE49-F238E27FC236}">
              <a16:creationId xmlns:a16="http://schemas.microsoft.com/office/drawing/2014/main" id="{D25DEF08-543B-3215-7922-0B0B8A89E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1758741</xdr:colOff>
      <xdr:row>83</xdr:row>
      <xdr:rowOff>130183</xdr:rowOff>
    </xdr:from>
    <xdr:to>
      <xdr:col>11</xdr:col>
      <xdr:colOff>2524881</xdr:colOff>
      <xdr:row>101</xdr:row>
      <xdr:rowOff>105321</xdr:rowOff>
    </xdr:to>
    <xdr:graphicFrame macro="">
      <xdr:nvGraphicFramePr>
        <xdr:cNvPr id="23" name="Chart 22">
          <a:extLst>
            <a:ext uri="{FF2B5EF4-FFF2-40B4-BE49-F238E27FC236}">
              <a16:creationId xmlns:a16="http://schemas.microsoft.com/office/drawing/2014/main" id="{B02F604C-B159-5F44-2594-2BC479459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137545</xdr:colOff>
      <xdr:row>102</xdr:row>
      <xdr:rowOff>37660</xdr:rowOff>
    </xdr:from>
    <xdr:to>
      <xdr:col>11</xdr:col>
      <xdr:colOff>2555119</xdr:colOff>
      <xdr:row>120</xdr:row>
      <xdr:rowOff>139390</xdr:rowOff>
    </xdr:to>
    <xdr:graphicFrame macro="">
      <xdr:nvGraphicFramePr>
        <xdr:cNvPr id="3" name="Chart 2">
          <a:extLst>
            <a:ext uri="{FF2B5EF4-FFF2-40B4-BE49-F238E27FC236}">
              <a16:creationId xmlns:a16="http://schemas.microsoft.com/office/drawing/2014/main" id="{431244C4-BE61-8DF9-C48C-B107A4AC1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1357221</xdr:colOff>
      <xdr:row>40</xdr:row>
      <xdr:rowOff>76199</xdr:rowOff>
    </xdr:from>
    <xdr:to>
      <xdr:col>10</xdr:col>
      <xdr:colOff>1357941</xdr:colOff>
      <xdr:row>42</xdr:row>
      <xdr:rowOff>109027</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5" name="Ink 4">
              <a:extLst>
                <a:ext uri="{FF2B5EF4-FFF2-40B4-BE49-F238E27FC236}">
                  <a16:creationId xmlns:a16="http://schemas.microsoft.com/office/drawing/2014/main" id="{999233CF-F00C-B864-3E92-C592FE37063C}"/>
                </a:ext>
              </a:extLst>
            </xdr14:cNvPr>
            <xdr14:cNvContentPartPr/>
          </xdr14:nvContentPartPr>
          <xdr14:nvPr macro=""/>
          <xdr14:xfrm>
            <a:off x="18311721" y="7835899"/>
            <a:ext cx="720" cy="413829"/>
          </xdr14:xfrm>
        </xdr:contentPart>
      </mc:Choice>
      <mc:Fallback xmlns="">
        <xdr:pic>
          <xdr:nvPicPr>
            <xdr:cNvPr id="5" name="Ink 4">
              <a:extLst>
                <a:ext uri="{FF2B5EF4-FFF2-40B4-BE49-F238E27FC236}">
                  <a16:creationId xmlns:a16="http://schemas.microsoft.com/office/drawing/2014/main" id="{999233CF-F00C-B864-3E92-C592FE37063C}"/>
                </a:ext>
              </a:extLst>
            </xdr:cNvPr>
            <xdr:cNvPicPr/>
          </xdr:nvPicPr>
          <xdr:blipFill>
            <a:blip xmlns:r="http://schemas.openxmlformats.org/officeDocument/2006/relationships" r:embed="rId11"/>
            <a:stretch>
              <a:fillRect/>
            </a:stretch>
          </xdr:blipFill>
          <xdr:spPr>
            <a:xfrm>
              <a:off x="15957648" y="7537586"/>
              <a:ext cx="72000" cy="498600"/>
            </a:xfrm>
            <a:prstGeom prst="rect">
              <a:avLst/>
            </a:prstGeom>
          </xdr:spPr>
        </xdr:pic>
      </mc:Fallback>
    </mc:AlternateContent>
    <xdr:clientData/>
  </xdr:twoCellAnchor>
  <xdr:twoCellAnchor editAs="oneCell">
    <xdr:from>
      <xdr:col>10</xdr:col>
      <xdr:colOff>1355963</xdr:colOff>
      <xdr:row>42</xdr:row>
      <xdr:rowOff>10407</xdr:rowOff>
    </xdr:from>
    <xdr:to>
      <xdr:col>10</xdr:col>
      <xdr:colOff>1544175</xdr:colOff>
      <xdr:row>42</xdr:row>
      <xdr:rowOff>161607</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8" name="Ink 7">
              <a:extLst>
                <a:ext uri="{FF2B5EF4-FFF2-40B4-BE49-F238E27FC236}">
                  <a16:creationId xmlns:a16="http://schemas.microsoft.com/office/drawing/2014/main" id="{A0A0A501-6696-AAEC-4895-0BEE81BF079F}"/>
                </a:ext>
              </a:extLst>
            </xdr14:cNvPr>
            <xdr14:cNvContentPartPr/>
          </xdr14:nvContentPartPr>
          <xdr14:nvPr macro=""/>
          <xdr14:xfrm>
            <a:off x="15982488" y="7856424"/>
            <a:ext cx="183600" cy="151200"/>
          </xdr14:xfrm>
        </xdr:contentPart>
      </mc:Choice>
      <mc:Fallback xmlns="">
        <xdr:pic>
          <xdr:nvPicPr>
            <xdr:cNvPr id="8" name="Ink 7">
              <a:extLst>
                <a:ext uri="{FF2B5EF4-FFF2-40B4-BE49-F238E27FC236}">
                  <a16:creationId xmlns:a16="http://schemas.microsoft.com/office/drawing/2014/main" id="{A0A0A501-6696-AAEC-4895-0BEE81BF079F}"/>
                </a:ext>
              </a:extLst>
            </xdr:cNvPr>
            <xdr:cNvPicPr/>
          </xdr:nvPicPr>
          <xdr:blipFill>
            <a:blip xmlns:r="http://schemas.openxmlformats.org/officeDocument/2006/relationships" r:embed="rId13"/>
            <a:stretch>
              <a:fillRect/>
            </a:stretch>
          </xdr:blipFill>
          <xdr:spPr>
            <a:xfrm>
              <a:off x="15964488" y="7838424"/>
              <a:ext cx="219240" cy="186840"/>
            </a:xfrm>
            <a:prstGeom prst="rect">
              <a:avLst/>
            </a:prstGeom>
          </xdr:spPr>
        </xdr:pic>
      </mc:Fallback>
    </mc:AlternateContent>
    <xdr:clientData/>
  </xdr:twoCellAnchor>
  <xdr:twoCellAnchor editAs="oneCell">
    <xdr:from>
      <xdr:col>10</xdr:col>
      <xdr:colOff>1194323</xdr:colOff>
      <xdr:row>42</xdr:row>
      <xdr:rowOff>21207</xdr:rowOff>
    </xdr:from>
    <xdr:to>
      <xdr:col>10</xdr:col>
      <xdr:colOff>1345523</xdr:colOff>
      <xdr:row>42</xdr:row>
      <xdr:rowOff>172407</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 name="Ink 8">
              <a:extLst>
                <a:ext uri="{FF2B5EF4-FFF2-40B4-BE49-F238E27FC236}">
                  <a16:creationId xmlns:a16="http://schemas.microsoft.com/office/drawing/2014/main" id="{A4BBBE91-EB06-E5BE-27D0-659F1EF4A8C2}"/>
                </a:ext>
              </a:extLst>
            </xdr14:cNvPr>
            <xdr14:cNvContentPartPr/>
          </xdr14:nvContentPartPr>
          <xdr14:nvPr macro=""/>
          <xdr14:xfrm>
            <a:off x="18148823" y="8161907"/>
            <a:ext cx="151200" cy="151200"/>
          </xdr14:xfrm>
        </xdr:contentPart>
      </mc:Choice>
      <mc:Fallback xmlns="">
        <xdr:pic>
          <xdr:nvPicPr>
            <xdr:cNvPr id="9" name="Ink 8">
              <a:extLst>
                <a:ext uri="{FF2B5EF4-FFF2-40B4-BE49-F238E27FC236}">
                  <a16:creationId xmlns:a16="http://schemas.microsoft.com/office/drawing/2014/main" id="{A4BBBE91-EB06-E5BE-27D0-659F1EF4A8C2}"/>
                </a:ext>
              </a:extLst>
            </xdr:cNvPr>
            <xdr:cNvPicPr/>
          </xdr:nvPicPr>
          <xdr:blipFill>
            <a:blip xmlns:r="http://schemas.openxmlformats.org/officeDocument/2006/relationships" r:embed="rId15"/>
            <a:stretch>
              <a:fillRect/>
            </a:stretch>
          </xdr:blipFill>
          <xdr:spPr>
            <a:xfrm>
              <a:off x="15802848" y="7849224"/>
              <a:ext cx="186840" cy="186840"/>
            </a:xfrm>
            <a:prstGeom prst="rect">
              <a:avLst/>
            </a:prstGeom>
          </xdr:spPr>
        </xdr:pic>
      </mc:Fallback>
    </mc:AlternateContent>
    <xdr:clientData/>
  </xdr:twoCellAnchor>
  <xdr:twoCellAnchor editAs="oneCell">
    <xdr:from>
      <xdr:col>13</xdr:col>
      <xdr:colOff>10319</xdr:colOff>
      <xdr:row>40</xdr:row>
      <xdr:rowOff>85819</xdr:rowOff>
    </xdr:from>
    <xdr:to>
      <xdr:col>13</xdr:col>
      <xdr:colOff>11039</xdr:colOff>
      <xdr:row>43</xdr:row>
      <xdr:rowOff>11041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1" name="Ink 10">
              <a:extLst>
                <a:ext uri="{FF2B5EF4-FFF2-40B4-BE49-F238E27FC236}">
                  <a16:creationId xmlns:a16="http://schemas.microsoft.com/office/drawing/2014/main" id="{D3369246-2169-0896-8330-C5A822449ED1}"/>
                </a:ext>
              </a:extLst>
            </xdr14:cNvPr>
            <xdr14:cNvContentPartPr/>
          </xdr14:nvContentPartPr>
          <xdr14:nvPr macro=""/>
          <xdr14:xfrm>
            <a:off x="20050488" y="7565904"/>
            <a:ext cx="720" cy="474120"/>
          </xdr14:xfrm>
        </xdr:contentPart>
      </mc:Choice>
      <mc:Fallback xmlns="">
        <xdr:pic>
          <xdr:nvPicPr>
            <xdr:cNvPr id="11" name="Ink 10">
              <a:extLst>
                <a:ext uri="{FF2B5EF4-FFF2-40B4-BE49-F238E27FC236}">
                  <a16:creationId xmlns:a16="http://schemas.microsoft.com/office/drawing/2014/main" id="{D3369246-2169-0896-8330-C5A822449ED1}"/>
                </a:ext>
              </a:extLst>
            </xdr:cNvPr>
            <xdr:cNvPicPr/>
          </xdr:nvPicPr>
          <xdr:blipFill>
            <a:blip xmlns:r="http://schemas.openxmlformats.org/officeDocument/2006/relationships" r:embed="rId17"/>
            <a:stretch>
              <a:fillRect/>
            </a:stretch>
          </xdr:blipFill>
          <xdr:spPr>
            <a:xfrm>
              <a:off x="20014488" y="7547904"/>
              <a:ext cx="72000" cy="509760"/>
            </a:xfrm>
            <a:prstGeom prst="rect">
              <a:avLst/>
            </a:prstGeom>
          </xdr:spPr>
        </xdr:pic>
      </mc:Fallback>
    </mc:AlternateContent>
    <xdr:clientData/>
  </xdr:twoCellAnchor>
  <xdr:twoCellAnchor editAs="oneCell">
    <xdr:from>
      <xdr:col>13</xdr:col>
      <xdr:colOff>21479</xdr:colOff>
      <xdr:row>42</xdr:row>
      <xdr:rowOff>21282</xdr:rowOff>
    </xdr:from>
    <xdr:to>
      <xdr:col>13</xdr:col>
      <xdr:colOff>205079</xdr:colOff>
      <xdr:row>43</xdr:row>
      <xdr:rowOff>317</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21" name="Ink 20">
              <a:extLst>
                <a:ext uri="{FF2B5EF4-FFF2-40B4-BE49-F238E27FC236}">
                  <a16:creationId xmlns:a16="http://schemas.microsoft.com/office/drawing/2014/main" id="{081747BB-E6F0-5D24-CDF5-A972A790047A}"/>
                </a:ext>
              </a:extLst>
            </xdr14:cNvPr>
            <xdr14:cNvContentPartPr/>
          </xdr14:nvContentPartPr>
          <xdr14:nvPr macro=""/>
          <xdr14:xfrm>
            <a:off x="20061648" y="7867299"/>
            <a:ext cx="183600" cy="162000"/>
          </xdr14:xfrm>
        </xdr:contentPart>
      </mc:Choice>
      <mc:Fallback xmlns="">
        <xdr:pic>
          <xdr:nvPicPr>
            <xdr:cNvPr id="21" name="Ink 20">
              <a:extLst>
                <a:ext uri="{FF2B5EF4-FFF2-40B4-BE49-F238E27FC236}">
                  <a16:creationId xmlns:a16="http://schemas.microsoft.com/office/drawing/2014/main" id="{081747BB-E6F0-5D24-CDF5-A972A790047A}"/>
                </a:ext>
              </a:extLst>
            </xdr:cNvPr>
            <xdr:cNvPicPr/>
          </xdr:nvPicPr>
          <xdr:blipFill>
            <a:blip xmlns:r="http://schemas.openxmlformats.org/officeDocument/2006/relationships" r:embed="rId19"/>
            <a:stretch>
              <a:fillRect/>
            </a:stretch>
          </xdr:blipFill>
          <xdr:spPr>
            <a:xfrm>
              <a:off x="20043648" y="7849299"/>
              <a:ext cx="219240" cy="197640"/>
            </a:xfrm>
            <a:prstGeom prst="rect">
              <a:avLst/>
            </a:prstGeom>
          </xdr:spPr>
        </xdr:pic>
      </mc:Fallback>
    </mc:AlternateContent>
    <xdr:clientData/>
  </xdr:twoCellAnchor>
  <xdr:twoCellAnchor editAs="oneCell">
    <xdr:from>
      <xdr:col>10</xdr:col>
      <xdr:colOff>1360258</xdr:colOff>
      <xdr:row>73</xdr:row>
      <xdr:rowOff>32719</xdr:rowOff>
    </xdr:from>
    <xdr:to>
      <xdr:col>11</xdr:col>
      <xdr:colOff>1261299</xdr:colOff>
      <xdr:row>79</xdr:row>
      <xdr:rowOff>96864</xdr:rowOff>
    </xdr:to>
    <mc:AlternateContent xmlns:mc="http://schemas.openxmlformats.org/markup-compatibility/2006" xmlns:a14="http://schemas.microsoft.com/office/drawing/2010/main">
      <mc:Choice Requires="a14">
        <xdr:graphicFrame macro="">
          <xdr:nvGraphicFramePr>
            <xdr:cNvPr id="36" name="Sector 1">
              <a:extLst>
                <a:ext uri="{FF2B5EF4-FFF2-40B4-BE49-F238E27FC236}">
                  <a16:creationId xmlns:a16="http://schemas.microsoft.com/office/drawing/2014/main" id="{BA5E9C27-69A7-357A-7771-F3AA4A7A3E9E}"/>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15587282" y="13624743"/>
              <a:ext cx="1826587" cy="1243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2928726</xdr:colOff>
      <xdr:row>42</xdr:row>
      <xdr:rowOff>25692</xdr:rowOff>
    </xdr:from>
    <xdr:to>
      <xdr:col>13</xdr:col>
      <xdr:colOff>43161</xdr:colOff>
      <xdr:row>43</xdr:row>
      <xdr:rowOff>50183</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 name="Ink 9">
              <a:extLst>
                <a:ext uri="{FF2B5EF4-FFF2-40B4-BE49-F238E27FC236}">
                  <a16:creationId xmlns:a16="http://schemas.microsoft.com/office/drawing/2014/main" id="{6D94DA37-618A-E836-67BA-430A571F74E9}"/>
                </a:ext>
              </a:extLst>
            </xdr14:cNvPr>
            <xdr14:cNvContentPartPr/>
          </xdr14:nvContentPartPr>
          <xdr14:nvPr macro=""/>
          <xdr14:xfrm>
            <a:off x="25438828" y="7865998"/>
            <a:ext cx="211680" cy="205920"/>
          </xdr14:xfrm>
        </xdr:contentPart>
      </mc:Choice>
      <mc:Fallback xmlns="">
        <xdr:pic>
          <xdr:nvPicPr>
            <xdr:cNvPr id="10" name="Ink 9">
              <a:extLst>
                <a:ext uri="{FF2B5EF4-FFF2-40B4-BE49-F238E27FC236}">
                  <a16:creationId xmlns:a16="http://schemas.microsoft.com/office/drawing/2014/main" id="{6D94DA37-618A-E836-67BA-430A571F74E9}"/>
                </a:ext>
              </a:extLst>
            </xdr:cNvPr>
            <xdr:cNvPicPr/>
          </xdr:nvPicPr>
          <xdr:blipFill>
            <a:blip xmlns:r="http://schemas.openxmlformats.org/officeDocument/2006/relationships" r:embed="rId21"/>
            <a:stretch>
              <a:fillRect/>
            </a:stretch>
          </xdr:blipFill>
          <xdr:spPr>
            <a:xfrm>
              <a:off x="25420828" y="7848358"/>
              <a:ext cx="247320" cy="24156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9</xdr:col>
      <xdr:colOff>75821</xdr:colOff>
      <xdr:row>126</xdr:row>
      <xdr:rowOff>82075</xdr:rowOff>
    </xdr:from>
    <xdr:to>
      <xdr:col>14</xdr:col>
      <xdr:colOff>1943100</xdr:colOff>
      <xdr:row>148</xdr:row>
      <xdr:rowOff>10391</xdr:rowOff>
    </xdr:to>
    <xdr:graphicFrame macro="">
      <xdr:nvGraphicFramePr>
        <xdr:cNvPr id="5" name="Chart 4">
          <a:extLst>
            <a:ext uri="{FF2B5EF4-FFF2-40B4-BE49-F238E27FC236}">
              <a16:creationId xmlns:a16="http://schemas.microsoft.com/office/drawing/2014/main" id="{D4297312-F3F6-49A2-B9B6-191E923E2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1563077</xdr:colOff>
      <xdr:row>148</xdr:row>
      <xdr:rowOff>58615</xdr:rowOff>
    </xdr:from>
    <xdr:to>
      <xdr:col>14</xdr:col>
      <xdr:colOff>1951182</xdr:colOff>
      <xdr:row>167</xdr:row>
      <xdr:rowOff>117231</xdr:rowOff>
    </xdr:to>
    <xdr:graphicFrame macro="">
      <xdr:nvGraphicFramePr>
        <xdr:cNvPr id="7" name="Chart 6">
          <a:extLst>
            <a:ext uri="{FF2B5EF4-FFF2-40B4-BE49-F238E27FC236}">
              <a16:creationId xmlns:a16="http://schemas.microsoft.com/office/drawing/2014/main" id="{2CCC4044-5D88-4331-A77A-5CDB07157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153715</xdr:colOff>
      <xdr:row>118</xdr:row>
      <xdr:rowOff>99462</xdr:rowOff>
    </xdr:from>
    <xdr:to>
      <xdr:col>14</xdr:col>
      <xdr:colOff>490947</xdr:colOff>
      <xdr:row>125</xdr:row>
      <xdr:rowOff>133935</xdr:rowOff>
    </xdr:to>
    <mc:AlternateContent xmlns:mc="http://schemas.openxmlformats.org/markup-compatibility/2006" xmlns:a14="http://schemas.microsoft.com/office/drawing/2010/main">
      <mc:Choice Requires="a14">
        <xdr:graphicFrame macro="">
          <xdr:nvGraphicFramePr>
            <xdr:cNvPr id="9" name="Covid Period">
              <a:extLst>
                <a:ext uri="{FF2B5EF4-FFF2-40B4-BE49-F238E27FC236}">
                  <a16:creationId xmlns:a16="http://schemas.microsoft.com/office/drawing/2014/main" id="{96771E97-1B68-46DD-241C-CA82460670C6}"/>
                </a:ext>
              </a:extLst>
            </xdr:cNvPr>
            <xdr:cNvGraphicFramePr/>
          </xdr:nvGraphicFramePr>
          <xdr:xfrm>
            <a:off x="0" y="0"/>
            <a:ext cx="0" cy="0"/>
          </xdr:xfrm>
          <a:graphic>
            <a:graphicData uri="http://schemas.microsoft.com/office/drawing/2010/slicer">
              <sle:slicer xmlns:sle="http://schemas.microsoft.com/office/drawing/2010/slicer" name="Covid Period"/>
            </a:graphicData>
          </a:graphic>
        </xdr:graphicFrame>
      </mc:Choice>
      <mc:Fallback xmlns="">
        <xdr:sp macro="" textlink="">
          <xdr:nvSpPr>
            <xdr:cNvPr id="0" name=""/>
            <xdr:cNvSpPr>
              <a:spLocks noTextEdit="1"/>
            </xdr:cNvSpPr>
          </xdr:nvSpPr>
          <xdr:spPr>
            <a:xfrm>
              <a:off x="28935459" y="21364578"/>
              <a:ext cx="2257000" cy="1452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92806</xdr:colOff>
      <xdr:row>148</xdr:row>
      <xdr:rowOff>44937</xdr:rowOff>
    </xdr:from>
    <xdr:to>
      <xdr:col>11</xdr:col>
      <xdr:colOff>1514229</xdr:colOff>
      <xdr:row>167</xdr:row>
      <xdr:rowOff>97693</xdr:rowOff>
    </xdr:to>
    <xdr:graphicFrame macro="">
      <xdr:nvGraphicFramePr>
        <xdr:cNvPr id="10" name="Chart 9">
          <a:extLst>
            <a:ext uri="{FF2B5EF4-FFF2-40B4-BE49-F238E27FC236}">
              <a16:creationId xmlns:a16="http://schemas.microsoft.com/office/drawing/2014/main" id="{013C2B9C-9496-332F-96FC-3F0C1DEC1A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20</xdr:col>
      <xdr:colOff>77611</xdr:colOff>
      <xdr:row>96</xdr:row>
      <xdr:rowOff>127000</xdr:rowOff>
    </xdr:from>
    <xdr:to>
      <xdr:col>21</xdr:col>
      <xdr:colOff>574707</xdr:colOff>
      <xdr:row>96</xdr:row>
      <xdr:rowOff>127000</xdr:rowOff>
    </xdr:to>
    <xdr:cxnSp macro="">
      <xdr:nvCxnSpPr>
        <xdr:cNvPr id="3" name="Straight Arrow Connector 2">
          <a:extLst>
            <a:ext uri="{FF2B5EF4-FFF2-40B4-BE49-F238E27FC236}">
              <a16:creationId xmlns:a16="http://schemas.microsoft.com/office/drawing/2014/main" id="{46798214-8490-4682-8E85-AAB9DAA75A5B}"/>
            </a:ext>
          </a:extLst>
        </xdr:cNvPr>
        <xdr:cNvCxnSpPr/>
      </xdr:nvCxnSpPr>
      <xdr:spPr>
        <a:xfrm>
          <a:off x="15381111" y="7097889"/>
          <a:ext cx="1223818"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599722</xdr:colOff>
      <xdr:row>96</xdr:row>
      <xdr:rowOff>119944</xdr:rowOff>
    </xdr:from>
    <xdr:to>
      <xdr:col>21</xdr:col>
      <xdr:colOff>599723</xdr:colOff>
      <xdr:row>115</xdr:row>
      <xdr:rowOff>49389</xdr:rowOff>
    </xdr:to>
    <xdr:cxnSp macro="">
      <xdr:nvCxnSpPr>
        <xdr:cNvPr id="4" name="Straight Arrow Connector 3">
          <a:extLst>
            <a:ext uri="{FF2B5EF4-FFF2-40B4-BE49-F238E27FC236}">
              <a16:creationId xmlns:a16="http://schemas.microsoft.com/office/drawing/2014/main" id="{00F7C477-A415-445C-8450-789BADE4C002}"/>
            </a:ext>
          </a:extLst>
        </xdr:cNvPr>
        <xdr:cNvCxnSpPr/>
      </xdr:nvCxnSpPr>
      <xdr:spPr>
        <a:xfrm flipH="1">
          <a:off x="16629944" y="7090833"/>
          <a:ext cx="1" cy="341488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77611</xdr:colOff>
      <xdr:row>115</xdr:row>
      <xdr:rowOff>49390</xdr:rowOff>
    </xdr:from>
    <xdr:to>
      <xdr:col>21</xdr:col>
      <xdr:colOff>589947</xdr:colOff>
      <xdr:row>115</xdr:row>
      <xdr:rowOff>49390</xdr:rowOff>
    </xdr:to>
    <xdr:cxnSp macro="">
      <xdr:nvCxnSpPr>
        <xdr:cNvPr id="6" name="Straight Arrow Connector 5">
          <a:extLst>
            <a:ext uri="{FF2B5EF4-FFF2-40B4-BE49-F238E27FC236}">
              <a16:creationId xmlns:a16="http://schemas.microsoft.com/office/drawing/2014/main" id="{CFDC910D-6BFA-4168-B219-74DF1F4C6C74}"/>
            </a:ext>
          </a:extLst>
        </xdr:cNvPr>
        <xdr:cNvCxnSpPr/>
      </xdr:nvCxnSpPr>
      <xdr:spPr>
        <a:xfrm flipH="1">
          <a:off x="15381111" y="10505723"/>
          <a:ext cx="1239058"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25T06:51:56.861"/>
    </inkml:context>
    <inkml:brush xml:id="br0">
      <inkml:brushProperty name="width" value="0.2" units="cm"/>
      <inkml:brushProperty name="height" value="0.2" units="cm"/>
      <inkml:brushProperty name="color" value="#E71224"/>
    </inkml:brush>
  </inkml:definitions>
  <inkml:trace contextRef="#ctx0" brushRef="#br0">1 0 24493,'4778'0'0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25T07:01:41.373"/>
    </inkml:context>
    <inkml:brush xml:id="br0">
      <inkml:brushProperty name="width" value="0.2" units="cm"/>
      <inkml:brushProperty name="height" value="0.2" units="cm"/>
      <inkml:brushProperty name="color" value="#E71224"/>
    </inkml:brush>
  </inkml:definitions>
  <inkml:trace contextRef="#ctx0" brushRef="#br0">3879 0 24575,'-3878'0'0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25T07:03:37.049"/>
    </inkml:context>
    <inkml:brush xml:id="br0">
      <inkml:brushProperty name="width" value="0.2" units="cm"/>
      <inkml:brushProperty name="height" value="0.2" units="cm"/>
      <inkml:brushProperty name="color" value="#E71224"/>
    </inkml:brush>
  </inkml:definitions>
  <inkml:trace contextRef="#ctx0" brushRef="#br0">1 692 24536,'1245'-691'0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25T07:03:56.415"/>
    </inkml:context>
    <inkml:brush xml:id="br0">
      <inkml:brushProperty name="width" value="0.2" units="cm"/>
      <inkml:brushProperty name="height" value="0.2" units="cm"/>
      <inkml:brushProperty name="color" value="#E71224"/>
    </inkml:brush>
  </inkml:definitions>
  <inkml:trace contextRef="#ctx0" brushRef="#br0">1 1 24559,'1420'624'0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25T07:07:54.154"/>
    </inkml:context>
    <inkml:brush xml:id="br0">
      <inkml:brushProperty name="width" value="0.2" units="cm"/>
      <inkml:brushProperty name="height" value="0.2" units="cm"/>
      <inkml:brushProperty name="color" value="#E71224"/>
    </inkml:brush>
  </inkml:definitions>
  <inkml:trace contextRef="#ctx0" brushRef="#br0">0 1 23892,'0'2432'0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25T07:10:00.002"/>
    </inkml:context>
    <inkml:brush xml:id="br0">
      <inkml:brushProperty name="width" value="0.2" units="cm"/>
      <inkml:brushProperty name="height" value="0.2" units="cm"/>
      <inkml:brushProperty name="color" value="#E71224"/>
    </inkml:brush>
  </inkml:definitions>
  <inkml:trace contextRef="#ctx0" brushRef="#br0">1 993 24141,'993'-993'0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25T07:10:11.175"/>
    </inkml:context>
    <inkml:brush xml:id="br0">
      <inkml:brushProperty name="width" value="0.2" units="cm"/>
      <inkml:brushProperty name="height" value="0.2" units="cm"/>
      <inkml:brushProperty name="color" value="#E71224"/>
    </inkml:brush>
  </inkml:definitions>
  <inkml:trace contextRef="#ctx0" brushRef="#br0">751 883 24575,'-750'-882'0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09T16:21:46.271"/>
    </inkml:context>
    <inkml:brush xml:id="br0">
      <inkml:brushProperty name="width" value="0.2" units="cm"/>
      <inkml:brushProperty name="height" value="0.2" units="cm"/>
      <inkml:brushProperty name="color" value="#E71224"/>
    </inkml:brush>
  </inkml:definitions>
  <inkml:trace contextRef="#ctx0" brushRef="#br0">1 0 24549,'665'905'0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09T16:22:12.218"/>
    </inkml:context>
    <inkml:brush xml:id="br0">
      <inkml:brushProperty name="width" value="0.2" units="cm"/>
      <inkml:brushProperty name="height" value="0.2" units="cm"/>
      <inkml:brushProperty name="color" value="#E71224"/>
    </inkml:brush>
  </inkml:definitions>
  <inkml:trace contextRef="#ctx0" brushRef="#br0">1 567 24559,'866'-566'0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25T14:45:52.461"/>
    </inkml:context>
    <inkml:brush xml:id="br0">
      <inkml:brushProperty name="width" value="0.1" units="cm"/>
      <inkml:brushProperty name="height" value="0.1" units="cm"/>
      <inkml:brushProperty name="color" value="#E71224"/>
    </inkml:brush>
  </inkml:definitions>
  <inkml:trace contextRef="#ctx0" brushRef="#br0">13 0 23986,'0'1323'0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25T14:46:19.055"/>
    </inkml:context>
    <inkml:brush xml:id="br0">
      <inkml:brushProperty name="width" value="0.1" units="cm"/>
      <inkml:brushProperty name="height" value="0.1" units="cm"/>
      <inkml:brushProperty name="color" value="#E71224"/>
    </inkml:brush>
  </inkml:definitions>
  <inkml:trace contextRef="#ctx0" brushRef="#br0">1 557 24575,'461'-556'0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25T14:47:31.911"/>
    </inkml:context>
    <inkml:brush xml:id="br0">
      <inkml:brushProperty name="width" value="0.1" units="cm"/>
      <inkml:brushProperty name="height" value="0.1" units="cm"/>
      <inkml:brushProperty name="color" value="#E71224"/>
    </inkml:brush>
  </inkml:definitions>
  <inkml:trace contextRef="#ctx0" brushRef="#br0">393 548 24575,'-2'0'0,"0"0"0,-1 0 0,1 0 0,-1 0 0,1-1 0,0 1 0,-1 0 0,1-1 0,0 0 0,0 0 0,-1 1 0,1-1 0,0-1 0,0 1 0,0 0 0,0 0 0,-2-2 0,2 0 0,0 0 0,0 0 0,0-1 0,1 1 0,-1 0 0,1-1 0,0 1 0,0-1 0,0 1 0,-1-6 0,-1-2 0,0 1 0,-1 0 0,-6-13 0,-3-7 0,11 27 0,0-1 0,0 1 0,0 0 0,0 0 0,-1 0 0,1 0 0,-1 1 0,0-1 0,0 1 0,0-1 0,0 1 0,0 0 0,-1 0 0,-5-2 0,4 2 0,1-1 0,-1 1 0,1-1 0,0 0 0,0 0 0,0 0 0,1 0 0,-1-1 0,-3-4 0,-72-111 0,60 94 0,15 21 0,0 0 0,1 0 0,-1-1 0,-4-9 0,5 9 0,0 0 0,-1 0 0,1 0 0,-1 0 0,0 1 0,0 0 0,-9-7 0,9 8 0,1 1 0,0-1 0,-1 0 0,1 0 0,0-1 0,1 1 0,-1-1 0,1 1 0,-1-1 0,1 0 0,0 0 0,0 0 0,1 0 0,-1 0 0,1 0 0,-1-6 0,-8-37-1365</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26T07:35:35.519"/>
    </inkml:context>
    <inkml:brush xml:id="br0">
      <inkml:brushProperty name="width" value="0.1" units="cm"/>
      <inkml:brushProperty name="height" value="0.1" units="cm"/>
      <inkml:brushProperty name="color" value="#E71224"/>
    </inkml:brush>
  </inkml:definitions>
  <inkml:trace contextRef="#ctx0" brushRef="#br0">0 0 24119,'0'1112'0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26T07:36:27.806"/>
    </inkml:context>
    <inkml:brush xml:id="br0">
      <inkml:brushProperty name="width" value="0.1" units="cm"/>
      <inkml:brushProperty name="height" value="0.1" units="cm"/>
      <inkml:brushProperty name="color" value="#E71224"/>
    </inkml:brush>
  </inkml:definitions>
  <inkml:trace contextRef="#ctx0" brushRef="#br0">1 422 24481,'509'-419'0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26T07:37:24.159"/>
    </inkml:context>
    <inkml:brush xml:id="br0">
      <inkml:brushProperty name="width" value="0.1" units="cm"/>
      <inkml:brushProperty name="height" value="0.1" units="cm"/>
      <inkml:brushProperty name="color" value="#E71224"/>
    </inkml:brush>
  </inkml:definitions>
  <inkml:trace contextRef="#ctx0" brushRef="#br0">419 420 24575,'-19'-18'0,"-27"-21"0,26 23 0,-24-24 0,-39-56 0,-23-24 0,5 29-1365</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26T07:37:36.584"/>
    </inkml:context>
    <inkml:brush xml:id="br0">
      <inkml:brushProperty name="width" value="0.1" units="cm"/>
      <inkml:brushProperty name="height" value="0.1" units="cm"/>
      <inkml:brushProperty name="color" value="#E71224"/>
    </inkml:brush>
  </inkml:definitions>
  <inkml:trace contextRef="#ctx0" brushRef="#br0">0 0 21389,'0'1316'0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26T07:40:26.838"/>
    </inkml:context>
    <inkml:brush xml:id="br0">
      <inkml:brushProperty name="width" value="0.1" units="cm"/>
      <inkml:brushProperty name="height" value="0.1" units="cm"/>
      <inkml:brushProperty name="color" value="#E71224"/>
    </inkml:brush>
  </inkml:definitions>
  <inkml:trace contextRef="#ctx0" brushRef="#br0">0 449 24562,'509'-449'0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16T07:54:18.495"/>
    </inkml:context>
    <inkml:brush xml:id="br0">
      <inkml:brushProperty name="width" value="0.1" units="cm"/>
      <inkml:brushProperty name="height" value="0.1" units="cm"/>
      <inkml:brushProperty name="color" value="#E71224"/>
    </inkml:brush>
  </inkml:definitions>
  <inkml:trace contextRef="#ctx0" brushRef="#br0">0 1 24575,'0'5'0,"1"1"0,0-1 0,0 0 0,0 1 0,1-1 0,-1 0 0,1 0 0,0 0 0,1 0 0,-1 0 0,1 0 0,0-1 0,0 1 0,1-1 0,-1 0 0,5 4 0,9 7 0,0 0 0,32 20 0,-18-14 0,9 6 0,2-2 0,60 28 0,-94-48 0,0 0 0,0 1 0,0 0 0,-1 0 0,0 1 0,0 0 0,-1 0 0,0 1 0,6 9 0,16 19 0,-12-19 46,14 16-751,50 72-1,-62-78-6120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pal Singh" refreshedDate="46262.843366203706" createdVersion="8" refreshedVersion="8" minRefreshableVersion="3" recordCount="372" xr:uid="{0BB03EB2-9AD7-44A3-81A0-B2C0C7754637}">
  <cacheSource type="worksheet">
    <worksheetSource name="Table1"/>
  </cacheSource>
  <cacheFields count="42">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Date" numFmtId="164">
      <sharedItems containsSemiMixedTypes="0" containsNonDate="0" containsDate="1" containsString="0" minDate="2013-01-01T00:00:00" maxDate="2023-05-02T00:00:00" count="124">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fieldGroup par="41"/>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ount="284">
        <n v="103.1"/>
        <n v="101.8"/>
        <n v="102.7"/>
        <n v="102.3"/>
        <n v="102.8"/>
        <n v="103.3"/>
        <n v="102.4"/>
        <n v="103"/>
        <n v="103.2"/>
        <n v="103.5"/>
        <n v="104"/>
        <n v="105"/>
        <n v="104.3"/>
        <n v="105.4"/>
        <n v="106.4"/>
        <n v="105.7"/>
        <n v="107.5"/>
        <n v="106.8"/>
        <n v="106.9"/>
        <n v="108.5"/>
        <n v="107.4"/>
        <n v="107.9"/>
        <n v="109.1"/>
        <n v="108.3"/>
        <n v="108.2"/>
        <n v="109.6"/>
        <n v="108.7"/>
        <n v="109"/>
        <n v="110.3"/>
        <n v="109.4"/>
        <n v="109.8"/>
        <n v="111.9"/>
        <n v="110.5"/>
        <n v="110.2"/>
        <n v="112.7"/>
        <n v="111"/>
        <n v="110.4"/>
        <n v="113.5"/>
        <n v="111.4"/>
        <n v="110.7"/>
        <n v="114.1"/>
        <n v="111.8"/>
        <n v="111.2"/>
        <n v="115.3"/>
        <n v="112.6"/>
        <n v="111.6"/>
        <n v="117"/>
        <n v="113.4"/>
        <n v="112.3"/>
        <n v="118.3"/>
        <n v="114.3"/>
        <n v="113.3"/>
        <n v="120"/>
        <n v="115.5"/>
        <n v="114.6"/>
        <n v="122.1"/>
        <n v="117.1"/>
        <n v="114.9"/>
        <n v="122.9"/>
        <n v="117.6"/>
        <n v="123.8"/>
        <n v="118.1"/>
        <n v="115.8"/>
        <n v="124.6"/>
        <n v="118.7"/>
        <n v="116"/>
        <n v="125.4"/>
        <n v="119.1"/>
        <n v="117.2"/>
        <n v="126.6"/>
        <n v="120.3"/>
        <n v="118.6"/>
        <n v="127.7"/>
        <n v="121.6"/>
        <n v="119.4"/>
        <n v="127.4"/>
        <n v="119.8"/>
        <n v="122.4"/>
        <n v="120.7"/>
        <n v="128.80000000000001"/>
        <n v="123.4"/>
        <n v="123"/>
        <n v="130.5"/>
        <n v="125.5"/>
        <n v="131.5"/>
        <n v="126.1"/>
        <n v="123.9"/>
        <n v="132.69999999999999"/>
        <n v="126.8"/>
        <n v="134.4"/>
        <n v="128.4"/>
        <n v="135.80000000000001"/>
        <n v="129.69999999999999"/>
        <n v="128.30000000000001"/>
        <n v="137.1"/>
        <n v="131.19999999999999"/>
        <n v="128.9"/>
        <n v="138.6"/>
        <n v="132.1"/>
        <n v="129.6"/>
        <n v="139.5"/>
        <n v="132.9"/>
        <n v="130.6"/>
        <n v="139.69999999999999"/>
        <n v="133.6"/>
        <n v="130.80000000000001"/>
        <n v="140.1"/>
        <n v="133.9"/>
        <n v="131.4"/>
        <n v="140.4"/>
        <n v="132.19999999999999"/>
        <n v="141.5"/>
        <n v="135.30000000000001"/>
        <n v="133.1"/>
        <n v="142.80000000000001"/>
        <n v="136.30000000000001"/>
        <n v="134.30000000000001"/>
        <n v="143.9"/>
        <n v="137.5"/>
        <n v="134.9"/>
        <n v="144.6"/>
        <n v="138.1"/>
        <n v="144.80000000000001"/>
        <n v="138.80000000000001"/>
        <n v="145.30000000000001"/>
        <n v="139.30000000000001"/>
        <n v="136.80000000000001"/>
        <n v="145.4"/>
        <n v="145.5"/>
        <n v="140.19999999999999"/>
        <n v="136.9"/>
        <n v="144.9"/>
        <n v="139.6"/>
        <n v="136"/>
        <n v="144"/>
        <n v="138.69999999999999"/>
        <n v="135.6"/>
        <n v="142.6"/>
        <n v="137.9"/>
        <n v="134.1"/>
        <n v="141.30000000000001"/>
        <n v="136.5"/>
        <n v="134"/>
        <n v="139.9"/>
        <n v="133.5"/>
        <n v="137.80000000000001"/>
        <n v="135.19999999999999"/>
        <n v="134.69999999999999"/>
        <n v="137.30000000000001"/>
        <n v="138.30000000000001"/>
        <n v="140.5"/>
        <n v="140.69999999999999"/>
        <n v="137.19999999999999"/>
        <n v="138.19999999999999"/>
        <n v="137.4"/>
        <n v="137.6"/>
        <n v="140"/>
        <n v="138.4"/>
        <n v="140.30000000000001"/>
        <n v="138.9"/>
        <n v="141.1"/>
        <n v="139.4"/>
        <n v="141.19999999999999"/>
        <n v="141"/>
        <n v="140.6"/>
        <n v="141.4"/>
        <n v="140.9"/>
        <n v="139.19999999999999"/>
        <n v="140.80000000000001"/>
        <n v="141.69999999999999"/>
        <n v="141.6"/>
        <n v="142.69999999999999"/>
        <n v="142.5"/>
        <n v="144.19999999999999"/>
        <n v="143.80000000000001"/>
        <n v="144.1"/>
        <n v="145.19999999999999"/>
        <n v="147.30000000000001"/>
        <n v="146.30000000000001"/>
        <n v="147"/>
        <n v="149.1"/>
        <n v="148"/>
        <n v="148.69999999999999"/>
        <n v="151.6"/>
        <n v="149.5"/>
        <n v="150.9"/>
        <n v="152.80000000000001"/>
        <n v="150.4"/>
        <n v="152"/>
        <n v="154"/>
        <n v="151.5"/>
        <n v="153.19999999999999"/>
        <n v="158.69999999999999"/>
        <n v="157.1"/>
        <n v="159.25"/>
        <n v="156.4"/>
        <n v="158.30000000000001"/>
        <n v="159.80000000000001"/>
        <n v="158.80000000000001"/>
        <n v="159.5"/>
        <n v="160"/>
        <n v="160.9"/>
        <n v="160.30000000000001"/>
        <n v="161.30000000000001"/>
        <n v="161"/>
        <n v="162"/>
        <n v="161.4"/>
        <n v="161.80000000000001"/>
        <n v="163.5"/>
        <n v="161.9"/>
        <n v="163"/>
        <n v="164.5"/>
        <n v="164"/>
        <n v="165"/>
        <n v="162.5"/>
        <n v="164.2"/>
        <n v="162.6"/>
        <n v="164.4"/>
        <n v="162.80000000000001"/>
        <n v="163.9"/>
        <n v="169.7"/>
        <n v="165.2"/>
        <n v="168.2"/>
        <n v="170"/>
        <n v="165.5"/>
        <n v="168.5"/>
        <n v="168.3"/>
        <n v="169.8"/>
        <n v="166.2"/>
        <n v="168.8"/>
        <n v="170.1"/>
        <n v="170.6"/>
        <n v="166.8"/>
        <n v="169.3"/>
        <n v="170.8"/>
        <n v="167.2"/>
        <n v="169.6"/>
        <n v="171.7"/>
        <n v="170.5"/>
        <n v="173.3"/>
        <n v="172.1"/>
        <n v="175.4"/>
        <n v="172.2"/>
        <n v="174.3"/>
        <n v="178.7"/>
        <n v="174.7"/>
        <n v="177.4"/>
        <n v="182.9"/>
        <n v="178"/>
        <n v="181.3"/>
        <n v="186.6"/>
        <n v="181.4"/>
        <n v="184.9"/>
        <n v="188.9"/>
        <n v="183.5"/>
        <n v="187.1"/>
        <n v="191.8"/>
        <n v="186.3"/>
        <n v="190"/>
        <n v="195.6"/>
        <n v="189.7"/>
        <n v="193.6"/>
        <n v="199.1"/>
        <n v="197.3"/>
        <n v="201.6"/>
        <n v="196.4"/>
        <n v="199.9"/>
        <n v="204.8"/>
        <n v="198.8"/>
        <n v="202.8"/>
        <n v="207.5"/>
        <n v="200.5"/>
        <n v="205.2"/>
        <n v="210.5"/>
        <n v="204.3"/>
        <n v="208.4"/>
        <n v="212.1"/>
        <n v="209.7"/>
        <n v="215.5"/>
        <n v="207.8"/>
        <n v="212.9"/>
        <n v="221"/>
        <n v="211.9"/>
        <n v="218"/>
      </sharedItems>
      <fieldGroup base="13">
        <rangePr autoStart="0" autoEnd="0" startNum="120" endNum="130" groupInterval="3"/>
        <groupItems count="6">
          <s v="&lt;120"/>
          <s v="120-123"/>
          <s v="123-126"/>
          <s v="126-129"/>
          <s v="129-132"/>
          <s v="&gt;132"/>
        </groupItems>
      </fieldGroup>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 name="Food" numFmtId="0">
      <sharedItems containsSemiMixedTypes="0" containsString="0" containsNumber="1" minValue="105.51666666666665" maxValue="179.33333333333334"/>
    </cacheField>
    <cacheField name="Pan, Tobacco &amp; Intoxicants" numFmtId="0">
      <sharedItems containsSemiMixedTypes="0" containsString="0" containsNumber="1" minValue="105.1" maxValue="204.2"/>
    </cacheField>
    <cacheField name="Clothing &amp; Footwear" numFmtId="0">
      <sharedItems containsSemiMixedTypes="0" containsString="0" containsNumber="1" minValue="105.45" maxValue="189.55"/>
    </cacheField>
    <cacheField name="Fuel &amp; Energy" numFmtId="0">
      <sharedItems containsSemiMixedTypes="0" containsString="0" containsNumber="1" minValue="105.4" maxValue="183.4"/>
    </cacheField>
    <cacheField name="Household" numFmtId="0">
      <sharedItems containsSemiMixedTypes="0" containsString="0" containsNumber="1" minValue="104.8" maxValue="179.8"/>
    </cacheField>
    <cacheField name="Transport &amp; Communication" numFmtId="0">
      <sharedItems containsSemiMixedTypes="0" containsString="0" containsNumber="1" minValue="103.2" maxValue="169.7"/>
    </cacheField>
    <cacheField name="Recreation" numFmtId="0">
      <sharedItems containsSemiMixedTypes="0" containsString="0" containsNumber="1" minValue="102.9" maxValue="173.8"/>
    </cacheField>
    <cacheField name="Covid Period" numFmtId="0">
      <sharedItems count="4">
        <s v="Pre-COVID"/>
        <s v="COVID Onset"/>
        <s v="Lockdown"/>
        <s v="Post-COVID"/>
      </sharedItems>
    </cacheField>
    <cacheField name="Months (Date)" numFmtId="0" databaseField="0">
      <fieldGroup base="3">
        <rangePr groupBy="months" startDate="2013-01-01T00:00:00" endDate="2023-05-02T00:00:00"/>
        <groupItems count="14">
          <s v="&lt;01-01-2013"/>
          <s v="Jan"/>
          <s v="Feb"/>
          <s v="Mar"/>
          <s v="Apr"/>
          <s v="May"/>
          <s v="Jun"/>
          <s v="Jul"/>
          <s v="Aug"/>
          <s v="Sep"/>
          <s v="Oct"/>
          <s v="Nov"/>
          <s v="Dec"/>
          <s v="&gt;02-05-2023"/>
        </groupItems>
      </fieldGroup>
    </cacheField>
    <cacheField name="Quarters (Date)" numFmtId="0" databaseField="0">
      <fieldGroup base="3">
        <rangePr groupBy="quarters" startDate="2013-01-01T00:00:00" endDate="2023-05-02T00:00:00"/>
        <groupItems count="6">
          <s v="&lt;01-01-2013"/>
          <s v="Qtr1"/>
          <s v="Qtr2"/>
          <s v="Qtr3"/>
          <s v="Qtr4"/>
          <s v="&gt;02-05-2023"/>
        </groupItems>
      </fieldGroup>
    </cacheField>
    <cacheField name="Years (Date)" numFmtId="0" databaseField="0">
      <fieldGroup base="3">
        <rangePr groupBy="years" startDate="2013-01-01T00:00:00" endDate="2023-05-02T00:00:00"/>
        <groupItems count="13">
          <s v="&lt;01-01-2013"/>
          <s v="2013"/>
          <s v="2014"/>
          <s v="2015"/>
          <s v="2016"/>
          <s v="2017"/>
          <s v="2018"/>
          <s v="2019"/>
          <s v="2020"/>
          <s v="2021"/>
          <s v="2022"/>
          <s v="2023"/>
          <s v="&gt;02-05-2023"/>
        </groupItems>
      </fieldGroup>
    </cacheField>
  </cacheFields>
  <extLst>
    <ext xmlns:x14="http://schemas.microsoft.com/office/spreadsheetml/2009/9/main" uri="{725AE2AE-9491-48be-B2B4-4EB974FC3084}">
      <x14:pivotCacheDefinition pivotCacheId="7966302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x v="0"/>
    <n v="107.5"/>
    <n v="106.3"/>
    <n v="108.1"/>
    <n v="104.9"/>
    <n v="106.1"/>
    <n v="103.9"/>
    <n v="101.9"/>
    <n v="106.1"/>
    <n v="106.8"/>
    <x v="0"/>
    <n v="104.8"/>
    <n v="106.7"/>
    <n v="105.5"/>
    <n v="105.1"/>
    <n v="106.5"/>
    <n v="105.8"/>
    <n v="106.4"/>
    <n v="100.3"/>
    <n v="105.5"/>
    <n v="104.8"/>
    <n v="104"/>
    <n v="103.3"/>
    <n v="103.4"/>
    <n v="103.8"/>
    <n v="104.7"/>
    <n v="104"/>
    <n v="105.1"/>
    <n v="105.51666666666665"/>
    <n v="105.1"/>
    <n v="106.15"/>
    <n v="105.5"/>
    <n v="104.8"/>
    <n v="103.3"/>
    <n v="103.4"/>
    <x v="0"/>
  </r>
  <r>
    <x v="1"/>
    <x v="0"/>
    <x v="0"/>
    <x v="0"/>
    <n v="110.5"/>
    <n v="109.1"/>
    <n v="113"/>
    <n v="103.6"/>
    <n v="103.4"/>
    <n v="102.3"/>
    <n v="102.9"/>
    <n v="105.8"/>
    <n v="105.1"/>
    <x v="1"/>
    <n v="105.1"/>
    <n v="107.9"/>
    <n v="105.9"/>
    <n v="105.2"/>
    <n v="105.9"/>
    <n v="105"/>
    <n v="105.8"/>
    <n v="100.3"/>
    <n v="105.4"/>
    <n v="104.8"/>
    <n v="104.1"/>
    <n v="103.2"/>
    <n v="102.9"/>
    <n v="103.5"/>
    <n v="104.3"/>
    <n v="103.7"/>
    <n v="104"/>
    <n v="105.875"/>
    <n v="105.2"/>
    <n v="105.45"/>
    <n v="105.4"/>
    <n v="104.8"/>
    <n v="103.2"/>
    <n v="102.9"/>
    <x v="0"/>
  </r>
  <r>
    <x v="2"/>
    <x v="0"/>
    <x v="0"/>
    <x v="0"/>
    <n v="108.4"/>
    <n v="107.3"/>
    <n v="110"/>
    <n v="104.4"/>
    <n v="105.1"/>
    <n v="103.2"/>
    <n v="102.2"/>
    <n v="106"/>
    <n v="106.2"/>
    <x v="2"/>
    <n v="104.9"/>
    <n v="107.3"/>
    <n v="105.6"/>
    <n v="105.1"/>
    <n v="106.3"/>
    <n v="105.5"/>
    <n v="106.2"/>
    <n v="100.3"/>
    <n v="105.5"/>
    <n v="104.8"/>
    <n v="104"/>
    <n v="103.2"/>
    <n v="103.1"/>
    <n v="103.6"/>
    <n v="104.5"/>
    <n v="103.9"/>
    <n v="104.6"/>
    <n v="105.64166666666669"/>
    <n v="105.1"/>
    <n v="105.9"/>
    <n v="105.5"/>
    <n v="104.8"/>
    <n v="103.2"/>
    <n v="103.1"/>
    <x v="0"/>
  </r>
  <r>
    <x v="0"/>
    <x v="0"/>
    <x v="1"/>
    <x v="1"/>
    <n v="109.2"/>
    <n v="108.7"/>
    <n v="110.2"/>
    <n v="105.4"/>
    <n v="106.7"/>
    <n v="104"/>
    <n v="102.4"/>
    <n v="105.9"/>
    <n v="105.7"/>
    <x v="0"/>
    <n v="105.1"/>
    <n v="107.7"/>
    <n v="106.3"/>
    <n v="105.6"/>
    <n v="107.1"/>
    <n v="106.3"/>
    <n v="107"/>
    <n v="100.4"/>
    <n v="106.2"/>
    <n v="105.2"/>
    <n v="104.4"/>
    <n v="103.9"/>
    <n v="104"/>
    <n v="104.1"/>
    <n v="104.6"/>
    <n v="104.4"/>
    <n v="105.8"/>
    <n v="106.175"/>
    <n v="105.6"/>
    <n v="106.69999999999999"/>
    <n v="106.2"/>
    <n v="105.2"/>
    <n v="103.9"/>
    <n v="104"/>
    <x v="0"/>
  </r>
  <r>
    <x v="1"/>
    <x v="0"/>
    <x v="1"/>
    <x v="1"/>
    <n v="112.9"/>
    <n v="112.9"/>
    <n v="116.9"/>
    <n v="104"/>
    <n v="103.5"/>
    <n v="103.1"/>
    <n v="104.9"/>
    <n v="104.1"/>
    <n v="103.8"/>
    <x v="3"/>
    <n v="106"/>
    <n v="109"/>
    <n v="107.2"/>
    <n v="106"/>
    <n v="106.6"/>
    <n v="105.5"/>
    <n v="106.4"/>
    <n v="100.4"/>
    <n v="105.7"/>
    <n v="105.2"/>
    <n v="104.7"/>
    <n v="104.4"/>
    <n v="103.3"/>
    <n v="103.7"/>
    <n v="104.3"/>
    <n v="104.3"/>
    <n v="104.7"/>
    <n v="106.95"/>
    <n v="106"/>
    <n v="106.05"/>
    <n v="105.7"/>
    <n v="105.2"/>
    <n v="104.4"/>
    <n v="103.3"/>
    <x v="0"/>
  </r>
  <r>
    <x v="2"/>
    <x v="0"/>
    <x v="1"/>
    <x v="1"/>
    <n v="110.4"/>
    <n v="110.2"/>
    <n v="112.8"/>
    <n v="104.9"/>
    <n v="105.5"/>
    <n v="103.6"/>
    <n v="103.2"/>
    <n v="105.3"/>
    <n v="105.1"/>
    <x v="4"/>
    <n v="105.5"/>
    <n v="108.3"/>
    <n v="106.6"/>
    <n v="105.7"/>
    <n v="106.9"/>
    <n v="106"/>
    <n v="106.8"/>
    <n v="100.4"/>
    <n v="106"/>
    <n v="105.2"/>
    <n v="104.5"/>
    <n v="104.2"/>
    <n v="103.6"/>
    <n v="103.9"/>
    <n v="104.5"/>
    <n v="104.4"/>
    <n v="105.3"/>
    <n v="106.46666666666668"/>
    <n v="105.7"/>
    <n v="106.45"/>
    <n v="106"/>
    <n v="105.2"/>
    <n v="104.2"/>
    <n v="103.6"/>
    <x v="0"/>
  </r>
  <r>
    <x v="0"/>
    <x v="0"/>
    <x v="2"/>
    <x v="2"/>
    <n v="110.2"/>
    <n v="108.8"/>
    <n v="109.9"/>
    <n v="105.6"/>
    <n v="106.2"/>
    <n v="105.7"/>
    <n v="101.4"/>
    <n v="105.7"/>
    <n v="105"/>
    <x v="5"/>
    <n v="105.6"/>
    <n v="108.2"/>
    <n v="106.6"/>
    <n v="106.5"/>
    <n v="107.6"/>
    <n v="106.8"/>
    <n v="107.5"/>
    <n v="100.4"/>
    <n v="106.1"/>
    <n v="105.6"/>
    <n v="104.7"/>
    <n v="104.6"/>
    <n v="104"/>
    <n v="104.3"/>
    <n v="104.3"/>
    <n v="104.6"/>
    <n v="106"/>
    <n v="106.30000000000001"/>
    <n v="106.5"/>
    <n v="107.19999999999999"/>
    <n v="106.1"/>
    <n v="105.6"/>
    <n v="104.6"/>
    <n v="104"/>
    <x v="0"/>
  </r>
  <r>
    <x v="1"/>
    <x v="0"/>
    <x v="2"/>
    <x v="2"/>
    <n v="113.9"/>
    <n v="111.4"/>
    <n v="113.2"/>
    <n v="104.3"/>
    <n v="102.7"/>
    <n v="104.9"/>
    <n v="103.8"/>
    <n v="103.5"/>
    <n v="102.6"/>
    <x v="6"/>
    <n v="107"/>
    <n v="109.8"/>
    <n v="107.3"/>
    <n v="106.8"/>
    <n v="107.2"/>
    <n v="106"/>
    <n v="107"/>
    <n v="100.4"/>
    <n v="106"/>
    <n v="105.7"/>
    <n v="105.2"/>
    <n v="105.5"/>
    <n v="103.5"/>
    <n v="103.8"/>
    <n v="104.2"/>
    <n v="104.9"/>
    <n v="105"/>
    <n v="106.625"/>
    <n v="106.8"/>
    <n v="106.6"/>
    <n v="106"/>
    <n v="105.7"/>
    <n v="105.5"/>
    <n v="103.5"/>
    <x v="0"/>
  </r>
  <r>
    <x v="2"/>
    <x v="0"/>
    <x v="2"/>
    <x v="2"/>
    <n v="111.4"/>
    <n v="109.7"/>
    <n v="111.2"/>
    <n v="105.1"/>
    <n v="104.9"/>
    <n v="105.3"/>
    <n v="102.2"/>
    <n v="105"/>
    <n v="104.2"/>
    <x v="7"/>
    <n v="106.2"/>
    <n v="108.9"/>
    <n v="106.9"/>
    <n v="106.6"/>
    <n v="107.4"/>
    <n v="106.5"/>
    <n v="107.3"/>
    <n v="100.4"/>
    <n v="106.1"/>
    <n v="105.6"/>
    <n v="104.9"/>
    <n v="105.1"/>
    <n v="103.7"/>
    <n v="104"/>
    <n v="104.3"/>
    <n v="104.7"/>
    <n v="105.5"/>
    <n v="106.42500000000001"/>
    <n v="106.6"/>
    <n v="106.95"/>
    <n v="106.1"/>
    <n v="105.6"/>
    <n v="105.1"/>
    <n v="103.7"/>
    <x v="0"/>
  </r>
  <r>
    <x v="0"/>
    <x v="0"/>
    <x v="3"/>
    <x v="3"/>
    <n v="110.2"/>
    <n v="109.5"/>
    <n v="106.9"/>
    <n v="106.3"/>
    <n v="105.7"/>
    <n v="108.3"/>
    <n v="103.4"/>
    <n v="105.7"/>
    <n v="104.2"/>
    <x v="8"/>
    <n v="106.5"/>
    <n v="108.8"/>
    <n v="107.1"/>
    <n v="107.1"/>
    <n v="108.1"/>
    <n v="107.4"/>
    <n v="108"/>
    <n v="100.5"/>
    <n v="106.5"/>
    <n v="106.1"/>
    <n v="105.1"/>
    <n v="104.4"/>
    <n v="104.5"/>
    <n v="104.8"/>
    <n v="102.7"/>
    <n v="104.6"/>
    <n v="106.4"/>
    <n v="106.55833333333334"/>
    <n v="107.1"/>
    <n v="107.75"/>
    <n v="106.5"/>
    <n v="106.1"/>
    <n v="104.4"/>
    <n v="104.5"/>
    <x v="0"/>
  </r>
  <r>
    <x v="1"/>
    <x v="0"/>
    <x v="3"/>
    <x v="3"/>
    <n v="114.6"/>
    <n v="113.4"/>
    <n v="106"/>
    <n v="104.7"/>
    <n v="102.1"/>
    <n v="109.5"/>
    <n v="109.7"/>
    <n v="104.6"/>
    <n v="102"/>
    <x v="9"/>
    <n v="108.2"/>
    <n v="110.6"/>
    <n v="108.8"/>
    <n v="108.5"/>
    <n v="107.9"/>
    <n v="106.4"/>
    <n v="107.7"/>
    <n v="100.5"/>
    <n v="106.4"/>
    <n v="106.5"/>
    <n v="105.7"/>
    <n v="105"/>
    <n v="104"/>
    <n v="105.2"/>
    <n v="103.2"/>
    <n v="105.1"/>
    <n v="105.7"/>
    <n v="107.40833333333332"/>
    <n v="108.5"/>
    <n v="107.15"/>
    <n v="106.4"/>
    <n v="106.5"/>
    <n v="105"/>
    <n v="104"/>
    <x v="0"/>
  </r>
  <r>
    <x v="2"/>
    <x v="0"/>
    <x v="3"/>
    <x v="3"/>
    <n v="111.6"/>
    <n v="110.9"/>
    <n v="106.6"/>
    <n v="105.7"/>
    <n v="104.4"/>
    <n v="108.9"/>
    <n v="105.5"/>
    <n v="105.3"/>
    <n v="103.5"/>
    <x v="5"/>
    <n v="107.2"/>
    <n v="109.6"/>
    <n v="107.7"/>
    <n v="107.5"/>
    <n v="108"/>
    <n v="107"/>
    <n v="107.9"/>
    <n v="100.5"/>
    <n v="106.5"/>
    <n v="106.3"/>
    <n v="105.3"/>
    <n v="104.7"/>
    <n v="104.2"/>
    <n v="105"/>
    <n v="102.9"/>
    <n v="104.8"/>
    <n v="106.1"/>
    <n v="106.875"/>
    <n v="107.5"/>
    <n v="107.5"/>
    <n v="106.5"/>
    <n v="106.3"/>
    <n v="104.7"/>
    <n v="104.2"/>
    <x v="0"/>
  </r>
  <r>
    <x v="0"/>
    <x v="0"/>
    <x v="4"/>
    <x v="4"/>
    <n v="110.9"/>
    <n v="109.8"/>
    <n v="105.9"/>
    <n v="107.5"/>
    <n v="105.3"/>
    <n v="108.1"/>
    <n v="107.3"/>
    <n v="106.1"/>
    <n v="103.7"/>
    <x v="10"/>
    <n v="107.4"/>
    <n v="109.9"/>
    <n v="108.1"/>
    <n v="108.1"/>
    <n v="108.8"/>
    <n v="107.9"/>
    <n v="108.6"/>
    <n v="100.5"/>
    <n v="107.5"/>
    <n v="106.8"/>
    <n v="105.7"/>
    <n v="104.1"/>
    <n v="105"/>
    <n v="105.5"/>
    <n v="102.1"/>
    <n v="104.8"/>
    <n v="107.2"/>
    <n v="107.15833333333335"/>
    <n v="108.1"/>
    <n v="108.35"/>
    <n v="107.5"/>
    <n v="106.8"/>
    <n v="104.1"/>
    <n v="105"/>
    <x v="0"/>
  </r>
  <r>
    <x v="1"/>
    <x v="0"/>
    <x v="4"/>
    <x v="4"/>
    <n v="115.4"/>
    <n v="114.2"/>
    <n v="102.7"/>
    <n v="105.5"/>
    <n v="101.5"/>
    <n v="110.6"/>
    <n v="123.7"/>
    <n v="105.2"/>
    <n v="101.9"/>
    <x v="11"/>
    <n v="109.1"/>
    <n v="111.3"/>
    <n v="111.1"/>
    <n v="109.8"/>
    <n v="108.5"/>
    <n v="106.7"/>
    <n v="108.3"/>
    <n v="100.5"/>
    <n v="107.2"/>
    <n v="107.1"/>
    <n v="106.2"/>
    <n v="103.9"/>
    <n v="104.6"/>
    <n v="105.7"/>
    <n v="102.6"/>
    <n v="104.9"/>
    <n v="106.6"/>
    <n v="108.84166666666665"/>
    <n v="109.8"/>
    <n v="107.6"/>
    <n v="107.2"/>
    <n v="107.1"/>
    <n v="103.9"/>
    <n v="104.6"/>
    <x v="0"/>
  </r>
  <r>
    <x v="2"/>
    <x v="0"/>
    <x v="4"/>
    <x v="4"/>
    <n v="112.3"/>
    <n v="111.3"/>
    <n v="104.7"/>
    <n v="106.8"/>
    <n v="103.9"/>
    <n v="109.3"/>
    <n v="112.9"/>
    <n v="105.8"/>
    <n v="103.1"/>
    <x v="12"/>
    <n v="108.1"/>
    <n v="110.5"/>
    <n v="109.2"/>
    <n v="108.6"/>
    <n v="108.7"/>
    <n v="107.4"/>
    <n v="108.5"/>
    <n v="100.5"/>
    <n v="107.4"/>
    <n v="106.9"/>
    <n v="105.9"/>
    <n v="104"/>
    <n v="104.8"/>
    <n v="105.6"/>
    <n v="102.3"/>
    <n v="104.8"/>
    <n v="106.9"/>
    <n v="107.74999999999999"/>
    <n v="108.6"/>
    <n v="108.05000000000001"/>
    <n v="107.4"/>
    <n v="106.9"/>
    <n v="104"/>
    <n v="104.8"/>
    <x v="0"/>
  </r>
  <r>
    <x v="0"/>
    <x v="0"/>
    <x v="5"/>
    <x v="5"/>
    <n v="112.3"/>
    <n v="112.1"/>
    <n v="108.1"/>
    <n v="108.3"/>
    <n v="105.9"/>
    <n v="109.2"/>
    <n v="118"/>
    <n v="106.8"/>
    <n v="104.1"/>
    <x v="13"/>
    <n v="108.2"/>
    <n v="111"/>
    <n v="110.6"/>
    <n v="109"/>
    <n v="109.7"/>
    <n v="108.8"/>
    <n v="109.5"/>
    <n v="106.6"/>
    <n v="108.5"/>
    <n v="107.5"/>
    <n v="106.3"/>
    <n v="105"/>
    <n v="105.6"/>
    <n v="106.5"/>
    <n v="102.5"/>
    <n v="105.5"/>
    <n v="108.9"/>
    <n v="109.11666666666667"/>
    <n v="109"/>
    <n v="109.25"/>
    <n v="108.5"/>
    <n v="107.5"/>
    <n v="105"/>
    <n v="105.6"/>
    <x v="0"/>
  </r>
  <r>
    <x v="1"/>
    <x v="0"/>
    <x v="5"/>
    <x v="5"/>
    <n v="117"/>
    <n v="120.1"/>
    <n v="112.5"/>
    <n v="107.3"/>
    <n v="101.3"/>
    <n v="112.4"/>
    <n v="143.6"/>
    <n v="105.4"/>
    <n v="101.4"/>
    <x v="14"/>
    <n v="110"/>
    <n v="112.2"/>
    <n v="115"/>
    <n v="110.9"/>
    <n v="109.2"/>
    <n v="107.2"/>
    <n v="108.9"/>
    <n v="106.6"/>
    <n v="108"/>
    <n v="107.7"/>
    <n v="106.5"/>
    <n v="105.2"/>
    <n v="105.2"/>
    <n v="108.1"/>
    <n v="103.3"/>
    <n v="106.1"/>
    <n v="109.7"/>
    <n v="112.46666666666668"/>
    <n v="110.9"/>
    <n v="108.2"/>
    <n v="108"/>
    <n v="107.7"/>
    <n v="105.2"/>
    <n v="105.2"/>
    <x v="0"/>
  </r>
  <r>
    <x v="2"/>
    <x v="0"/>
    <x v="5"/>
    <x v="5"/>
    <n v="113.8"/>
    <n v="114.9"/>
    <n v="109.8"/>
    <n v="107.9"/>
    <n v="104.2"/>
    <n v="110.7"/>
    <n v="126.7"/>
    <n v="106.3"/>
    <n v="103.2"/>
    <x v="15"/>
    <n v="109"/>
    <n v="111.6"/>
    <n v="112.2"/>
    <n v="109.5"/>
    <n v="109.5"/>
    <n v="108.1"/>
    <n v="109.3"/>
    <n v="106.6"/>
    <n v="108.3"/>
    <n v="107.6"/>
    <n v="106.4"/>
    <n v="105.1"/>
    <n v="105.4"/>
    <n v="107.4"/>
    <n v="102.8"/>
    <n v="105.8"/>
    <n v="109.3"/>
    <n v="110.31666666666666"/>
    <n v="109.5"/>
    <n v="108.8"/>
    <n v="108.3"/>
    <n v="107.6"/>
    <n v="105.1"/>
    <n v="105.4"/>
    <x v="0"/>
  </r>
  <r>
    <x v="0"/>
    <x v="0"/>
    <x v="6"/>
    <x v="6"/>
    <n v="113.4"/>
    <n v="114.9"/>
    <n v="110.5"/>
    <n v="109.3"/>
    <n v="106.2"/>
    <n v="110.3"/>
    <n v="129.19999999999999"/>
    <n v="107.1"/>
    <n v="104.3"/>
    <x v="14"/>
    <n v="109.1"/>
    <n v="112.1"/>
    <n v="113.1"/>
    <n v="109.8"/>
    <n v="110.5"/>
    <n v="109.5"/>
    <n v="110.3"/>
    <n v="107.7"/>
    <n v="109.5"/>
    <n v="108.3"/>
    <n v="106.9"/>
    <n v="106.8"/>
    <n v="106.4"/>
    <n v="107.8"/>
    <n v="102.5"/>
    <n v="106.5"/>
    <n v="110.7"/>
    <n v="111.06666666666665"/>
    <n v="109.8"/>
    <n v="110"/>
    <n v="109.5"/>
    <n v="108.3"/>
    <n v="106.8"/>
    <n v="106.4"/>
    <x v="0"/>
  </r>
  <r>
    <x v="1"/>
    <x v="0"/>
    <x v="6"/>
    <x v="6"/>
    <n v="117.8"/>
    <n v="119.2"/>
    <n v="114"/>
    <n v="108.3"/>
    <n v="101.1"/>
    <n v="113.2"/>
    <n v="160.9"/>
    <n v="105.1"/>
    <n v="101.3"/>
    <x v="16"/>
    <n v="110.4"/>
    <n v="113.1"/>
    <n v="117.5"/>
    <n v="111.7"/>
    <n v="109.8"/>
    <n v="107.8"/>
    <n v="109.5"/>
    <n v="107.7"/>
    <n v="108.6"/>
    <n v="108.1"/>
    <n v="107.1"/>
    <n v="107.3"/>
    <n v="105.9"/>
    <n v="110.1"/>
    <n v="103.2"/>
    <n v="107.3"/>
    <n v="111.4"/>
    <n v="114.325"/>
    <n v="111.7"/>
    <n v="108.8"/>
    <n v="108.6"/>
    <n v="108.1"/>
    <n v="107.3"/>
    <n v="105.9"/>
    <x v="0"/>
  </r>
  <r>
    <x v="2"/>
    <x v="0"/>
    <x v="6"/>
    <x v="6"/>
    <n v="114.8"/>
    <n v="116.4"/>
    <n v="111.9"/>
    <n v="108.9"/>
    <n v="104.3"/>
    <n v="111.7"/>
    <n v="140"/>
    <n v="106.4"/>
    <n v="103.3"/>
    <x v="17"/>
    <n v="109.6"/>
    <n v="112.6"/>
    <n v="114.7"/>
    <n v="110.3"/>
    <n v="110.2"/>
    <n v="108.8"/>
    <n v="110"/>
    <n v="107.7"/>
    <n v="109.2"/>
    <n v="108.2"/>
    <n v="107"/>
    <n v="107.1"/>
    <n v="106.1"/>
    <n v="109.1"/>
    <n v="102.8"/>
    <n v="106.9"/>
    <n v="111"/>
    <n v="112.22499999999998"/>
    <n v="110.3"/>
    <n v="109.5"/>
    <n v="109.2"/>
    <n v="108.2"/>
    <n v="107.1"/>
    <n v="106.1"/>
    <x v="0"/>
  </r>
  <r>
    <x v="0"/>
    <x v="0"/>
    <x v="7"/>
    <x v="7"/>
    <n v="114.3"/>
    <n v="115.4"/>
    <n v="111.1"/>
    <n v="110"/>
    <n v="106.4"/>
    <n v="110.8"/>
    <n v="138.9"/>
    <n v="107.4"/>
    <n v="104.1"/>
    <x v="18"/>
    <n v="109.7"/>
    <n v="112.6"/>
    <n v="114.9"/>
    <n v="110.7"/>
    <n v="111.3"/>
    <n v="110.2"/>
    <n v="111.1"/>
    <n v="108.9"/>
    <n v="109.9"/>
    <n v="108.7"/>
    <n v="107.5"/>
    <n v="107.8"/>
    <n v="106.8"/>
    <n v="108.7"/>
    <n v="105"/>
    <n v="107.5"/>
    <n v="112.1"/>
    <n v="112.3"/>
    <n v="110.7"/>
    <n v="110.75"/>
    <n v="109.9"/>
    <n v="108.7"/>
    <n v="107.8"/>
    <n v="106.8"/>
    <x v="0"/>
  </r>
  <r>
    <x v="1"/>
    <x v="0"/>
    <x v="7"/>
    <x v="7"/>
    <n v="118.3"/>
    <n v="120.4"/>
    <n v="112.7"/>
    <n v="108.9"/>
    <n v="101.1"/>
    <n v="108.7"/>
    <n v="177"/>
    <n v="104.7"/>
    <n v="101"/>
    <x v="19"/>
    <n v="110.9"/>
    <n v="114.3"/>
    <n v="119.6"/>
    <n v="112.4"/>
    <n v="110.6"/>
    <n v="108.3"/>
    <n v="110.2"/>
    <n v="108.9"/>
    <n v="109.3"/>
    <n v="108.7"/>
    <n v="107.6"/>
    <n v="108.1"/>
    <n v="106.5"/>
    <n v="110.8"/>
    <n v="106"/>
    <n v="108.3"/>
    <n v="112.7"/>
    <n v="115.54166666666669"/>
    <n v="112.4"/>
    <n v="109.44999999999999"/>
    <n v="109.3"/>
    <n v="108.7"/>
    <n v="108.1"/>
    <n v="106.5"/>
    <x v="0"/>
  </r>
  <r>
    <x v="2"/>
    <x v="0"/>
    <x v="7"/>
    <x v="7"/>
    <n v="115.6"/>
    <n v="117.2"/>
    <n v="111.7"/>
    <n v="109.6"/>
    <n v="104.5"/>
    <n v="109.8"/>
    <n v="151.80000000000001"/>
    <n v="106.5"/>
    <n v="103.1"/>
    <x v="20"/>
    <n v="110.2"/>
    <n v="113.4"/>
    <n v="116.6"/>
    <n v="111.2"/>
    <n v="111"/>
    <n v="109.4"/>
    <n v="110.7"/>
    <n v="108.9"/>
    <n v="109.7"/>
    <n v="108.7"/>
    <n v="107.5"/>
    <n v="108"/>
    <n v="106.6"/>
    <n v="109.9"/>
    <n v="105.4"/>
    <n v="107.9"/>
    <n v="112.4"/>
    <n v="113.40000000000002"/>
    <n v="111.2"/>
    <n v="110.2"/>
    <n v="109.7"/>
    <n v="108.7"/>
    <n v="108"/>
    <n v="106.6"/>
    <x v="0"/>
  </r>
  <r>
    <x v="0"/>
    <x v="0"/>
    <x v="8"/>
    <x v="8"/>
    <n v="115.4"/>
    <n v="115.7"/>
    <n v="111.7"/>
    <n v="111"/>
    <n v="107.4"/>
    <n v="110.9"/>
    <n v="154"/>
    <n v="108.1"/>
    <n v="104.2"/>
    <x v="21"/>
    <n v="110.4"/>
    <n v="114"/>
    <n v="117.8"/>
    <n v="111.7"/>
    <n v="112.7"/>
    <n v="111.4"/>
    <n v="112.5"/>
    <n v="109.7"/>
    <n v="111.1"/>
    <n v="109.6"/>
    <n v="108.3"/>
    <n v="109.3"/>
    <n v="107.7"/>
    <n v="109.8"/>
    <n v="106.7"/>
    <n v="108.7"/>
    <n v="114.2"/>
    <n v="114.22500000000002"/>
    <n v="111.7"/>
    <n v="112.05000000000001"/>
    <n v="111.1"/>
    <n v="109.6"/>
    <n v="109.3"/>
    <n v="107.7"/>
    <x v="0"/>
  </r>
  <r>
    <x v="1"/>
    <x v="0"/>
    <x v="8"/>
    <x v="8"/>
    <n v="118.6"/>
    <n v="119.1"/>
    <n v="113.2"/>
    <n v="109.6"/>
    <n v="101.7"/>
    <n v="103.2"/>
    <n v="174.3"/>
    <n v="105.1"/>
    <n v="100.8"/>
    <x v="22"/>
    <n v="111.1"/>
    <n v="115.4"/>
    <n v="119.2"/>
    <n v="112.9"/>
    <n v="111.4"/>
    <n v="109"/>
    <n v="111.1"/>
    <n v="109.7"/>
    <n v="109.5"/>
    <n v="109.6"/>
    <n v="107.9"/>
    <n v="110.4"/>
    <n v="107.4"/>
    <n v="111.2"/>
    <n v="106.9"/>
    <n v="109.4"/>
    <n v="113.2"/>
    <n v="115.10000000000001"/>
    <n v="112.9"/>
    <n v="110.2"/>
    <n v="109.5"/>
    <n v="109.6"/>
    <n v="110.4"/>
    <n v="107.4"/>
    <x v="0"/>
  </r>
  <r>
    <x v="2"/>
    <x v="0"/>
    <x v="8"/>
    <x v="8"/>
    <n v="116.4"/>
    <n v="116.9"/>
    <n v="112.3"/>
    <n v="110.5"/>
    <n v="105.3"/>
    <n v="107.3"/>
    <n v="160.9"/>
    <n v="107.1"/>
    <n v="103.1"/>
    <x v="23"/>
    <n v="110.7"/>
    <n v="114.6"/>
    <n v="118.3"/>
    <n v="112"/>
    <n v="112.2"/>
    <n v="110.4"/>
    <n v="111.9"/>
    <n v="109.7"/>
    <n v="110.5"/>
    <n v="109.6"/>
    <n v="108.1"/>
    <n v="109.9"/>
    <n v="107.5"/>
    <n v="110.6"/>
    <n v="106.8"/>
    <n v="109"/>
    <n v="113.7"/>
    <n v="114.44999999999999"/>
    <n v="112"/>
    <n v="111.30000000000001"/>
    <n v="110.5"/>
    <n v="109.6"/>
    <n v="109.9"/>
    <n v="107.5"/>
    <x v="0"/>
  </r>
  <r>
    <x v="0"/>
    <x v="0"/>
    <x v="9"/>
    <x v="9"/>
    <n v="116.3"/>
    <n v="115.4"/>
    <n v="112.6"/>
    <n v="111.7"/>
    <n v="107.7"/>
    <n v="113.2"/>
    <n v="164.9"/>
    <n v="108.3"/>
    <n v="103.9"/>
    <x v="24"/>
    <n v="111.1"/>
    <n v="114.9"/>
    <n v="119.8"/>
    <n v="112.2"/>
    <n v="113.6"/>
    <n v="112.3"/>
    <n v="113.4"/>
    <n v="110.5"/>
    <n v="111.6"/>
    <n v="110.4"/>
    <n v="108.9"/>
    <n v="109.3"/>
    <n v="108.3"/>
    <n v="110.2"/>
    <n v="107.5"/>
    <n v="109.1"/>
    <n v="115.5"/>
    <n v="115.68333333333334"/>
    <n v="112.2"/>
    <n v="112.94999999999999"/>
    <n v="111.6"/>
    <n v="110.4"/>
    <n v="109.3"/>
    <n v="108.3"/>
    <x v="0"/>
  </r>
  <r>
    <x v="1"/>
    <x v="0"/>
    <x v="9"/>
    <x v="9"/>
    <n v="118.9"/>
    <n v="118.1"/>
    <n v="114.5"/>
    <n v="110.4"/>
    <n v="102.3"/>
    <n v="106.2"/>
    <n v="183.5"/>
    <n v="105.3"/>
    <n v="100.2"/>
    <x v="25"/>
    <n v="111.4"/>
    <n v="116"/>
    <n v="120.8"/>
    <n v="113.5"/>
    <n v="112.5"/>
    <n v="109.7"/>
    <n v="112"/>
    <n v="110.5"/>
    <n v="109.7"/>
    <n v="110.2"/>
    <n v="108.2"/>
    <n v="109.7"/>
    <n v="108"/>
    <n v="111.3"/>
    <n v="107.3"/>
    <n v="109.4"/>
    <n v="114"/>
    <n v="116.36666666666666"/>
    <n v="113.5"/>
    <n v="111.1"/>
    <n v="109.7"/>
    <n v="110.2"/>
    <n v="109.7"/>
    <n v="108"/>
    <x v="0"/>
  </r>
  <r>
    <x v="2"/>
    <x v="0"/>
    <x v="9"/>
    <x v="9"/>
    <n v="117.1"/>
    <n v="116.3"/>
    <n v="113.3"/>
    <n v="111.2"/>
    <n v="105.7"/>
    <n v="109.9"/>
    <n v="171.2"/>
    <n v="107.3"/>
    <n v="102.7"/>
    <x v="26"/>
    <n v="111.2"/>
    <n v="115.4"/>
    <n v="120.2"/>
    <n v="112.5"/>
    <n v="113.2"/>
    <n v="111.2"/>
    <n v="112.8"/>
    <n v="110.5"/>
    <n v="110.9"/>
    <n v="110.3"/>
    <n v="108.6"/>
    <n v="109.5"/>
    <n v="108.1"/>
    <n v="110.8"/>
    <n v="107.4"/>
    <n v="109.2"/>
    <n v="114.8"/>
    <n v="115.83333333333336"/>
    <n v="112.5"/>
    <n v="112.2"/>
    <n v="110.9"/>
    <n v="110.3"/>
    <n v="109.5"/>
    <n v="108.1"/>
    <x v="0"/>
  </r>
  <r>
    <x v="0"/>
    <x v="0"/>
    <x v="10"/>
    <x v="10"/>
    <n v="117.3"/>
    <n v="114.9"/>
    <n v="116.2"/>
    <n v="112.8"/>
    <n v="108.9"/>
    <n v="116.6"/>
    <n v="178.1"/>
    <n v="109.1"/>
    <n v="103.6"/>
    <x v="27"/>
    <n v="111.8"/>
    <n v="116"/>
    <n v="122.5"/>
    <n v="112.8"/>
    <n v="114.6"/>
    <n v="113.1"/>
    <n v="114.4"/>
    <n v="111.1"/>
    <n v="112.6"/>
    <n v="111.3"/>
    <n v="109.7"/>
    <n v="109.6"/>
    <n v="108.7"/>
    <n v="111"/>
    <n v="108.2"/>
    <n v="109.8"/>
    <n v="117.4"/>
    <n v="117.85833333333333"/>
    <n v="112.8"/>
    <n v="113.85"/>
    <n v="112.6"/>
    <n v="111.3"/>
    <n v="109.6"/>
    <n v="108.7"/>
    <x v="0"/>
  </r>
  <r>
    <x v="1"/>
    <x v="0"/>
    <x v="10"/>
    <x v="10"/>
    <n v="119.8"/>
    <n v="116.3"/>
    <n v="122.6"/>
    <n v="112"/>
    <n v="103.2"/>
    <n v="110"/>
    <n v="192.8"/>
    <n v="106.3"/>
    <n v="99.5"/>
    <x v="28"/>
    <n v="111.8"/>
    <n v="117.1"/>
    <n v="122.9"/>
    <n v="114.1"/>
    <n v="113.5"/>
    <n v="110.3"/>
    <n v="113"/>
    <n v="111.1"/>
    <n v="110"/>
    <n v="110.9"/>
    <n v="108.6"/>
    <n v="109.5"/>
    <n v="108.5"/>
    <n v="111.3"/>
    <n v="107.9"/>
    <n v="109.6"/>
    <n v="115"/>
    <n v="118.47499999999998"/>
    <n v="114.1"/>
    <n v="111.9"/>
    <n v="110"/>
    <n v="110.9"/>
    <n v="109.5"/>
    <n v="108.5"/>
    <x v="0"/>
  </r>
  <r>
    <x v="2"/>
    <x v="0"/>
    <x v="10"/>
    <x v="10"/>
    <n v="118.1"/>
    <n v="115.4"/>
    <n v="118.7"/>
    <n v="112.5"/>
    <n v="106.8"/>
    <n v="113.5"/>
    <n v="183.1"/>
    <n v="108.2"/>
    <n v="102.2"/>
    <x v="29"/>
    <n v="111.8"/>
    <n v="116.5"/>
    <n v="122.6"/>
    <n v="113.1"/>
    <n v="114.2"/>
    <n v="111.9"/>
    <n v="113.8"/>
    <n v="111.1"/>
    <n v="111.6"/>
    <n v="111.1"/>
    <n v="109.3"/>
    <n v="109.5"/>
    <n v="108.6"/>
    <n v="111.2"/>
    <n v="108.1"/>
    <n v="109.7"/>
    <n v="116.3"/>
    <n v="118.01666666666667"/>
    <n v="113.1"/>
    <n v="113.05000000000001"/>
    <n v="111.6"/>
    <n v="111.1"/>
    <n v="109.5"/>
    <n v="108.6"/>
    <x v="0"/>
  </r>
  <r>
    <x v="0"/>
    <x v="0"/>
    <x v="11"/>
    <x v="11"/>
    <n v="118.4"/>
    <n v="115.9"/>
    <n v="120.4"/>
    <n v="113.8"/>
    <n v="109.5"/>
    <n v="115.5"/>
    <n v="145.69999999999999"/>
    <n v="109.5"/>
    <n v="102.9"/>
    <x v="30"/>
    <n v="112.1"/>
    <n v="116.8"/>
    <n v="118.7"/>
    <n v="113.6"/>
    <n v="115.8"/>
    <n v="114"/>
    <n v="115.5"/>
    <n v="110.7"/>
    <n v="112.8"/>
    <n v="112.1"/>
    <n v="110.1"/>
    <n v="109.9"/>
    <n v="109.2"/>
    <n v="111.6"/>
    <n v="108.1"/>
    <n v="110.1"/>
    <n v="115.5"/>
    <n v="115.85833333333333"/>
    <n v="113.6"/>
    <n v="114.9"/>
    <n v="112.8"/>
    <n v="112.1"/>
    <n v="109.9"/>
    <n v="109.2"/>
    <x v="0"/>
  </r>
  <r>
    <x v="1"/>
    <x v="0"/>
    <x v="11"/>
    <x v="11"/>
    <n v="120.5"/>
    <n v="118.1"/>
    <n v="128.5"/>
    <n v="112.8"/>
    <n v="103.4"/>
    <n v="110.7"/>
    <n v="144.80000000000001"/>
    <n v="107.1"/>
    <n v="98.6"/>
    <x v="31"/>
    <n v="112.1"/>
    <n v="118.1"/>
    <n v="117.8"/>
    <n v="115"/>
    <n v="114.2"/>
    <n v="110.9"/>
    <n v="113.7"/>
    <n v="110.7"/>
    <n v="110.4"/>
    <n v="111.3"/>
    <n v="109"/>
    <n v="109.7"/>
    <n v="108.9"/>
    <n v="111.4"/>
    <n v="107.7"/>
    <n v="109.8"/>
    <n v="113.3"/>
    <n v="115.55000000000001"/>
    <n v="115"/>
    <n v="112.55000000000001"/>
    <n v="110.4"/>
    <n v="111.3"/>
    <n v="109.7"/>
    <n v="108.9"/>
    <x v="0"/>
  </r>
  <r>
    <x v="2"/>
    <x v="0"/>
    <x v="11"/>
    <x v="11"/>
    <n v="119.1"/>
    <n v="116.7"/>
    <n v="123.5"/>
    <n v="113.4"/>
    <n v="107.3"/>
    <n v="113.3"/>
    <n v="145.4"/>
    <n v="108.7"/>
    <n v="101.5"/>
    <x v="32"/>
    <n v="112.1"/>
    <n v="117.4"/>
    <n v="118.4"/>
    <n v="114"/>
    <n v="115.2"/>
    <n v="112.7"/>
    <n v="114.8"/>
    <n v="110.7"/>
    <n v="111.9"/>
    <n v="111.7"/>
    <n v="109.7"/>
    <n v="109.8"/>
    <n v="109"/>
    <n v="111.5"/>
    <n v="107.9"/>
    <n v="110"/>
    <n v="114.5"/>
    <n v="115.74166666666667"/>
    <n v="114"/>
    <n v="113.95"/>
    <n v="111.9"/>
    <n v="111.7"/>
    <n v="109.8"/>
    <n v="109"/>
    <x v="0"/>
  </r>
  <r>
    <x v="0"/>
    <x v="1"/>
    <x v="0"/>
    <x v="12"/>
    <n v="118.9"/>
    <n v="117.1"/>
    <n v="120.5"/>
    <n v="114.4"/>
    <n v="109"/>
    <n v="115.5"/>
    <n v="123.9"/>
    <n v="109.6"/>
    <n v="101.8"/>
    <x v="33"/>
    <n v="112.4"/>
    <n v="117.3"/>
    <n v="116"/>
    <n v="114"/>
    <n v="116.5"/>
    <n v="114.5"/>
    <n v="116.2"/>
    <n v="111.6"/>
    <n v="113"/>
    <n v="112.6"/>
    <n v="110.6"/>
    <n v="110.5"/>
    <n v="109.6"/>
    <n v="111.8"/>
    <n v="108.3"/>
    <n v="110.6"/>
    <n v="114.2"/>
    <n v="114.21666666666668"/>
    <n v="114"/>
    <n v="115.5"/>
    <n v="113"/>
    <n v="112.6"/>
    <n v="110.5"/>
    <n v="109.6"/>
    <x v="0"/>
  </r>
  <r>
    <x v="1"/>
    <x v="1"/>
    <x v="0"/>
    <x v="12"/>
    <n v="121.2"/>
    <n v="122"/>
    <n v="129.9"/>
    <n v="113.6"/>
    <n v="102.9"/>
    <n v="112.1"/>
    <n v="118.9"/>
    <n v="107.5"/>
    <n v="96.9"/>
    <x v="34"/>
    <n v="112.1"/>
    <n v="119"/>
    <n v="115.5"/>
    <n v="115.7"/>
    <n v="114.8"/>
    <n v="111.3"/>
    <n v="114.3"/>
    <n v="111.6"/>
    <n v="111"/>
    <n v="111.9"/>
    <n v="109.7"/>
    <n v="110.8"/>
    <n v="109.8"/>
    <n v="111.5"/>
    <n v="108"/>
    <n v="110.5"/>
    <n v="112.9"/>
    <n v="114.06666666666666"/>
    <n v="115.7"/>
    <n v="113.05"/>
    <n v="111"/>
    <n v="111.9"/>
    <n v="110.8"/>
    <n v="109.8"/>
    <x v="0"/>
  </r>
  <r>
    <x v="2"/>
    <x v="1"/>
    <x v="0"/>
    <x v="12"/>
    <n v="119.6"/>
    <n v="118.8"/>
    <n v="124.1"/>
    <n v="114.1"/>
    <n v="106.8"/>
    <n v="113.9"/>
    <n v="122.2"/>
    <n v="108.9"/>
    <n v="100.2"/>
    <x v="35"/>
    <n v="112.3"/>
    <n v="118.1"/>
    <n v="115.8"/>
    <n v="114.5"/>
    <n v="115.8"/>
    <n v="113.2"/>
    <n v="115.4"/>
    <n v="111.6"/>
    <n v="112.2"/>
    <n v="112.3"/>
    <n v="110.3"/>
    <n v="110.7"/>
    <n v="109.7"/>
    <n v="111.6"/>
    <n v="108.2"/>
    <n v="110.6"/>
    <n v="113.6"/>
    <n v="114.16666666666664"/>
    <n v="114.5"/>
    <n v="114.5"/>
    <n v="112.2"/>
    <n v="112.3"/>
    <n v="110.7"/>
    <n v="109.7"/>
    <x v="0"/>
  </r>
  <r>
    <x v="0"/>
    <x v="1"/>
    <x v="1"/>
    <x v="13"/>
    <n v="119.4"/>
    <n v="117.7"/>
    <n v="121.2"/>
    <n v="115"/>
    <n v="109"/>
    <n v="116.6"/>
    <n v="116"/>
    <n v="109.8"/>
    <n v="101.1"/>
    <x v="36"/>
    <n v="112.9"/>
    <n v="117.8"/>
    <n v="115.3"/>
    <n v="114.2"/>
    <n v="117.1"/>
    <n v="114.5"/>
    <n v="116.7"/>
    <n v="112.5"/>
    <n v="113.2"/>
    <n v="112.9"/>
    <n v="110.9"/>
    <n v="110.8"/>
    <n v="109.9"/>
    <n v="112"/>
    <n v="108.7"/>
    <n v="110.9"/>
    <n v="114"/>
    <n v="113.90833333333335"/>
    <n v="114.2"/>
    <n v="115.8"/>
    <n v="113.2"/>
    <n v="112.9"/>
    <n v="110.8"/>
    <n v="109.9"/>
    <x v="0"/>
  </r>
  <r>
    <x v="1"/>
    <x v="1"/>
    <x v="1"/>
    <x v="13"/>
    <n v="121.9"/>
    <n v="122"/>
    <n v="124.5"/>
    <n v="115.2"/>
    <n v="102.5"/>
    <n v="114.1"/>
    <n v="111.5"/>
    <n v="108.2"/>
    <n v="95.4"/>
    <x v="37"/>
    <n v="112.1"/>
    <n v="119.9"/>
    <n v="115.2"/>
    <n v="116.2"/>
    <n v="115.3"/>
    <n v="111.7"/>
    <n v="114.7"/>
    <n v="112.5"/>
    <n v="111.1"/>
    <n v="112.6"/>
    <n v="110.4"/>
    <n v="111.3"/>
    <n v="110.3"/>
    <n v="111.6"/>
    <n v="108.7"/>
    <n v="111"/>
    <n v="113.1"/>
    <n v="113.39999999999999"/>
    <n v="116.2"/>
    <n v="113.5"/>
    <n v="111.1"/>
    <n v="112.6"/>
    <n v="111.3"/>
    <n v="110.3"/>
    <x v="0"/>
  </r>
  <r>
    <x v="2"/>
    <x v="1"/>
    <x v="1"/>
    <x v="13"/>
    <n v="120.2"/>
    <n v="119.2"/>
    <n v="122.5"/>
    <n v="115.1"/>
    <n v="106.6"/>
    <n v="115.4"/>
    <n v="114.5"/>
    <n v="109.3"/>
    <n v="99.2"/>
    <x v="38"/>
    <n v="112.6"/>
    <n v="118.8"/>
    <n v="115.3"/>
    <n v="114.7"/>
    <n v="116.4"/>
    <n v="113.3"/>
    <n v="115.9"/>
    <n v="112.5"/>
    <n v="112.4"/>
    <n v="112.8"/>
    <n v="110.7"/>
    <n v="111.1"/>
    <n v="110.1"/>
    <n v="111.8"/>
    <n v="108.7"/>
    <n v="110.9"/>
    <n v="113.6"/>
    <n v="113.73333333333333"/>
    <n v="114.7"/>
    <n v="114.85"/>
    <n v="112.4"/>
    <n v="112.8"/>
    <n v="111.1"/>
    <n v="110.1"/>
    <x v="0"/>
  </r>
  <r>
    <x v="0"/>
    <x v="1"/>
    <x v="2"/>
    <x v="14"/>
    <n v="120.1"/>
    <n v="118.1"/>
    <n v="120.7"/>
    <n v="116.1"/>
    <n v="109.3"/>
    <n v="119.6"/>
    <n v="117.9"/>
    <n v="110.2"/>
    <n v="101.2"/>
    <x v="39"/>
    <n v="113"/>
    <n v="118.3"/>
    <n v="116.2"/>
    <n v="114.6"/>
    <n v="117.5"/>
    <n v="114.9"/>
    <n v="117.2"/>
    <n v="113.2"/>
    <n v="113.4"/>
    <n v="113.4"/>
    <n v="111.4"/>
    <n v="111.2"/>
    <n v="110.2"/>
    <n v="112.4"/>
    <n v="108.9"/>
    <n v="111.3"/>
    <n v="114.6"/>
    <n v="114.60000000000001"/>
    <n v="114.6"/>
    <n v="116.2"/>
    <n v="113.4"/>
    <n v="113.4"/>
    <n v="111.2"/>
    <n v="110.2"/>
    <x v="0"/>
  </r>
  <r>
    <x v="1"/>
    <x v="1"/>
    <x v="2"/>
    <x v="14"/>
    <n v="122.1"/>
    <n v="121.4"/>
    <n v="121.5"/>
    <n v="116.2"/>
    <n v="102.8"/>
    <n v="117.7"/>
    <n v="113.3"/>
    <n v="108.9"/>
    <n v="96.3"/>
    <x v="40"/>
    <n v="112.2"/>
    <n v="120.5"/>
    <n v="116"/>
    <n v="116.7"/>
    <n v="115.8"/>
    <n v="112.1"/>
    <n v="115.2"/>
    <n v="113.2"/>
    <n v="110.9"/>
    <n v="113"/>
    <n v="110.8"/>
    <n v="111.6"/>
    <n v="110.9"/>
    <n v="111.8"/>
    <n v="109.2"/>
    <n v="111.4"/>
    <n v="113.7"/>
    <n v="113.91666666666667"/>
    <n v="116.7"/>
    <n v="113.94999999999999"/>
    <n v="110.9"/>
    <n v="113"/>
    <n v="111.6"/>
    <n v="110.9"/>
    <x v="0"/>
  </r>
  <r>
    <x v="2"/>
    <x v="1"/>
    <x v="2"/>
    <x v="14"/>
    <n v="120.7"/>
    <n v="119.3"/>
    <n v="121"/>
    <n v="116.1"/>
    <n v="106.9"/>
    <n v="118.7"/>
    <n v="116.3"/>
    <n v="109.8"/>
    <n v="99.6"/>
    <x v="41"/>
    <n v="112.7"/>
    <n v="119.3"/>
    <n v="116.1"/>
    <n v="115.2"/>
    <n v="116.8"/>
    <n v="113.7"/>
    <n v="116.4"/>
    <n v="113.2"/>
    <n v="112.5"/>
    <n v="113.2"/>
    <n v="111.2"/>
    <n v="111.4"/>
    <n v="110.6"/>
    <n v="112"/>
    <n v="109"/>
    <n v="111.3"/>
    <n v="114.2"/>
    <n v="114.34999999999998"/>
    <n v="115.2"/>
    <n v="115.25"/>
    <n v="112.5"/>
    <n v="113.2"/>
    <n v="111.4"/>
    <n v="110.6"/>
    <x v="0"/>
  </r>
  <r>
    <x v="0"/>
    <x v="1"/>
    <x v="3"/>
    <x v="15"/>
    <n v="120.2"/>
    <n v="118.9"/>
    <n v="118.1"/>
    <n v="117"/>
    <n v="109.7"/>
    <n v="125.5"/>
    <n v="120.5"/>
    <n v="111"/>
    <n v="102.6"/>
    <x v="42"/>
    <n v="113.5"/>
    <n v="118.7"/>
    <n v="117.2"/>
    <n v="115.4"/>
    <n v="118.1"/>
    <n v="116.1"/>
    <n v="117.8"/>
    <n v="113.9"/>
    <n v="113.4"/>
    <n v="113.7"/>
    <n v="111.8"/>
    <n v="111.2"/>
    <n v="110.5"/>
    <n v="113"/>
    <n v="108.9"/>
    <n v="111.5"/>
    <n v="115.4"/>
    <n v="115.575"/>
    <n v="115.4"/>
    <n v="117.1"/>
    <n v="113.4"/>
    <n v="113.7"/>
    <n v="111.2"/>
    <n v="110.5"/>
    <x v="0"/>
  </r>
  <r>
    <x v="1"/>
    <x v="1"/>
    <x v="3"/>
    <x v="15"/>
    <n v="122.5"/>
    <n v="121.7"/>
    <n v="113.3"/>
    <n v="117"/>
    <n v="103.1"/>
    <n v="126.7"/>
    <n v="121.2"/>
    <n v="111"/>
    <n v="100.3"/>
    <x v="43"/>
    <n v="112.7"/>
    <n v="121"/>
    <n v="118.2"/>
    <n v="117.6"/>
    <n v="116.3"/>
    <n v="112.5"/>
    <n v="115.7"/>
    <n v="113.9"/>
    <n v="110.9"/>
    <n v="113.4"/>
    <n v="111"/>
    <n v="111.2"/>
    <n v="111.2"/>
    <n v="112.5"/>
    <n v="109.1"/>
    <n v="111.4"/>
    <n v="114.7"/>
    <n v="115.48333333333335"/>
    <n v="117.6"/>
    <n v="114.4"/>
    <n v="110.9"/>
    <n v="113.4"/>
    <n v="111.2"/>
    <n v="111.2"/>
    <x v="0"/>
  </r>
  <r>
    <x v="2"/>
    <x v="1"/>
    <x v="3"/>
    <x v="15"/>
    <n v="120.9"/>
    <n v="119.9"/>
    <n v="116.2"/>
    <n v="117"/>
    <n v="107.3"/>
    <n v="126.1"/>
    <n v="120.7"/>
    <n v="111"/>
    <n v="101.8"/>
    <x v="44"/>
    <n v="113.2"/>
    <n v="119.8"/>
    <n v="117.6"/>
    <n v="116"/>
    <n v="117.4"/>
    <n v="114.6"/>
    <n v="117"/>
    <n v="113.9"/>
    <n v="112.5"/>
    <n v="113.6"/>
    <n v="111.5"/>
    <n v="111.2"/>
    <n v="110.9"/>
    <n v="112.7"/>
    <n v="109"/>
    <n v="111.5"/>
    <n v="115.1"/>
    <n v="115.54166666666667"/>
    <n v="116"/>
    <n v="116"/>
    <n v="112.5"/>
    <n v="113.6"/>
    <n v="111.2"/>
    <n v="110.9"/>
    <x v="0"/>
  </r>
  <r>
    <x v="0"/>
    <x v="1"/>
    <x v="4"/>
    <x v="16"/>
    <n v="120.3"/>
    <n v="120.2"/>
    <n v="116.9"/>
    <n v="118"/>
    <n v="110.1"/>
    <n v="126.3"/>
    <n v="123.9"/>
    <n v="111.5"/>
    <n v="103.5"/>
    <x v="45"/>
    <n v="114.2"/>
    <n v="119.2"/>
    <n v="118.2"/>
    <n v="116.3"/>
    <n v="118.7"/>
    <n v="116.8"/>
    <n v="118.5"/>
    <n v="114.3"/>
    <n v="113.4"/>
    <n v="114.1"/>
    <n v="112.1"/>
    <n v="111.4"/>
    <n v="110.9"/>
    <n v="113.1"/>
    <n v="108.9"/>
    <n v="111.8"/>
    <n v="116"/>
    <n v="116.30833333333332"/>
    <n v="116.3"/>
    <n v="117.75"/>
    <n v="113.4"/>
    <n v="114.1"/>
    <n v="111.4"/>
    <n v="110.9"/>
    <x v="0"/>
  </r>
  <r>
    <x v="1"/>
    <x v="1"/>
    <x v="4"/>
    <x v="16"/>
    <n v="122.7"/>
    <n v="124.1"/>
    <n v="114.2"/>
    <n v="119.1"/>
    <n v="103.5"/>
    <n v="129.19999999999999"/>
    <n v="127"/>
    <n v="112.6"/>
    <n v="101.3"/>
    <x v="46"/>
    <n v="112.9"/>
    <n v="121.7"/>
    <n v="120"/>
    <n v="118.3"/>
    <n v="116.8"/>
    <n v="112.9"/>
    <n v="116.2"/>
    <n v="114.3"/>
    <n v="111.1"/>
    <n v="114.1"/>
    <n v="111.2"/>
    <n v="111.3"/>
    <n v="111.5"/>
    <n v="112.9"/>
    <n v="109.3"/>
    <n v="111.7"/>
    <n v="115.6"/>
    <n v="117.10833333333335"/>
    <n v="118.3"/>
    <n v="114.85"/>
    <n v="111.1"/>
    <n v="114.1"/>
    <n v="111.3"/>
    <n v="111.5"/>
    <x v="0"/>
  </r>
  <r>
    <x v="2"/>
    <x v="1"/>
    <x v="4"/>
    <x v="16"/>
    <n v="121.1"/>
    <n v="121.6"/>
    <n v="115.9"/>
    <n v="118.4"/>
    <n v="107.7"/>
    <n v="127.7"/>
    <n v="125"/>
    <n v="111.9"/>
    <n v="102.8"/>
    <x v="47"/>
    <n v="113.7"/>
    <n v="120.4"/>
    <n v="118.9"/>
    <n v="116.8"/>
    <n v="118"/>
    <n v="115.2"/>
    <n v="117.6"/>
    <n v="114.3"/>
    <n v="112.5"/>
    <n v="114.1"/>
    <n v="111.8"/>
    <n v="111.3"/>
    <n v="111.2"/>
    <n v="113"/>
    <n v="109.1"/>
    <n v="111.8"/>
    <n v="115.8"/>
    <n v="116.63333333333337"/>
    <n v="116.8"/>
    <n v="116.6"/>
    <n v="112.5"/>
    <n v="114.1"/>
    <n v="111.3"/>
    <n v="111.2"/>
    <x v="0"/>
  </r>
  <r>
    <x v="0"/>
    <x v="1"/>
    <x v="5"/>
    <x v="17"/>
    <n v="120.7"/>
    <n v="121.6"/>
    <n v="116.1"/>
    <n v="119.3"/>
    <n v="110.3"/>
    <n v="125.8"/>
    <n v="129.30000000000001"/>
    <n v="112.2"/>
    <n v="103.6"/>
    <x v="48"/>
    <n v="114.9"/>
    <n v="120.1"/>
    <n v="119.5"/>
    <n v="117.3"/>
    <n v="119.7"/>
    <n v="117.3"/>
    <n v="119.3"/>
    <n v="113.9"/>
    <n v="114.4"/>
    <n v="114.9"/>
    <n v="112.8"/>
    <n v="112.2"/>
    <n v="111.4"/>
    <n v="114.3"/>
    <n v="108"/>
    <n v="112.3"/>
    <n v="117"/>
    <n v="117.18333333333332"/>
    <n v="117.3"/>
    <n v="118.5"/>
    <n v="114.4"/>
    <n v="114.9"/>
    <n v="112.2"/>
    <n v="111.4"/>
    <x v="0"/>
  </r>
  <r>
    <x v="1"/>
    <x v="1"/>
    <x v="5"/>
    <x v="17"/>
    <n v="123.1"/>
    <n v="125.9"/>
    <n v="115.4"/>
    <n v="120.4"/>
    <n v="103.4"/>
    <n v="131.19999999999999"/>
    <n v="137.5"/>
    <n v="112.8"/>
    <n v="101.4"/>
    <x v="49"/>
    <n v="113.2"/>
    <n v="122.4"/>
    <n v="122"/>
    <n v="119"/>
    <n v="117.4"/>
    <n v="113.2"/>
    <n v="116.7"/>
    <n v="113.9"/>
    <n v="111.2"/>
    <n v="114.3"/>
    <n v="111.4"/>
    <n v="111.5"/>
    <n v="111.8"/>
    <n v="115.1"/>
    <n v="108.7"/>
    <n v="112.2"/>
    <n v="116.4"/>
    <n v="118.75"/>
    <n v="119"/>
    <n v="115.30000000000001"/>
    <n v="111.2"/>
    <n v="114.3"/>
    <n v="111.5"/>
    <n v="111.8"/>
    <x v="0"/>
  </r>
  <r>
    <x v="2"/>
    <x v="1"/>
    <x v="5"/>
    <x v="17"/>
    <n v="121.5"/>
    <n v="123.1"/>
    <n v="115.8"/>
    <n v="119.7"/>
    <n v="107.8"/>
    <n v="128.30000000000001"/>
    <n v="132.1"/>
    <n v="112.4"/>
    <n v="102.9"/>
    <x v="50"/>
    <n v="114.2"/>
    <n v="121.2"/>
    <n v="120.4"/>
    <n v="117.8"/>
    <n v="118.8"/>
    <n v="115.6"/>
    <n v="118.3"/>
    <n v="113.9"/>
    <n v="113.2"/>
    <n v="114.6"/>
    <n v="112.3"/>
    <n v="111.8"/>
    <n v="111.6"/>
    <n v="114.8"/>
    <n v="108.3"/>
    <n v="112.3"/>
    <n v="116.7"/>
    <n v="117.77500000000002"/>
    <n v="117.8"/>
    <n v="117.19999999999999"/>
    <n v="113.2"/>
    <n v="114.6"/>
    <n v="111.8"/>
    <n v="111.6"/>
    <x v="0"/>
  </r>
  <r>
    <x v="0"/>
    <x v="1"/>
    <x v="6"/>
    <x v="18"/>
    <n v="121.7"/>
    <n v="122.5"/>
    <n v="117.7"/>
    <n v="120.6"/>
    <n v="110.4"/>
    <n v="129.1"/>
    <n v="150.1"/>
    <n v="113.2"/>
    <n v="104.8"/>
    <x v="51"/>
    <n v="115.6"/>
    <n v="120.9"/>
    <n v="123.3"/>
    <n v="118"/>
    <n v="120.7"/>
    <n v="118.3"/>
    <n v="120.3"/>
    <n v="114.8"/>
    <n v="115.3"/>
    <n v="115.4"/>
    <n v="113.4"/>
    <n v="113.2"/>
    <n v="111.8"/>
    <n v="115.5"/>
    <n v="108.8"/>
    <n v="113.1"/>
    <n v="119.5"/>
    <n v="119.99166666666667"/>
    <n v="118"/>
    <n v="119.5"/>
    <n v="115.3"/>
    <n v="115.4"/>
    <n v="113.2"/>
    <n v="111.8"/>
    <x v="0"/>
  </r>
  <r>
    <x v="1"/>
    <x v="1"/>
    <x v="6"/>
    <x v="18"/>
    <n v="123.8"/>
    <n v="126.4"/>
    <n v="118"/>
    <n v="121.6"/>
    <n v="103.5"/>
    <n v="133.69999999999999"/>
    <n v="172.4"/>
    <n v="113.1"/>
    <n v="102.7"/>
    <x v="52"/>
    <n v="113.8"/>
    <n v="123.4"/>
    <n v="127.1"/>
    <n v="121"/>
    <n v="118"/>
    <n v="113.6"/>
    <n v="117.4"/>
    <n v="114.8"/>
    <n v="111.6"/>
    <n v="114.9"/>
    <n v="111.5"/>
    <n v="113"/>
    <n v="112.4"/>
    <n v="117.8"/>
    <n v="109.7"/>
    <n v="113.5"/>
    <n v="118.9"/>
    <n v="122.7"/>
    <n v="121"/>
    <n v="115.8"/>
    <n v="111.6"/>
    <n v="114.9"/>
    <n v="113"/>
    <n v="112.4"/>
    <x v="0"/>
  </r>
  <r>
    <x v="2"/>
    <x v="1"/>
    <x v="6"/>
    <x v="18"/>
    <n v="122.4"/>
    <n v="123.9"/>
    <n v="117.8"/>
    <n v="121"/>
    <n v="107.9"/>
    <n v="131.19999999999999"/>
    <n v="157.69999999999999"/>
    <n v="113.2"/>
    <n v="104.1"/>
    <x v="53"/>
    <n v="114.8"/>
    <n v="122.1"/>
    <n v="124.7"/>
    <n v="118.8"/>
    <n v="119.6"/>
    <n v="116.3"/>
    <n v="119.1"/>
    <n v="114.8"/>
    <n v="113.9"/>
    <n v="115.2"/>
    <n v="112.7"/>
    <n v="113.1"/>
    <n v="112.1"/>
    <n v="116.8"/>
    <n v="109.2"/>
    <n v="113.3"/>
    <n v="119.2"/>
    <n v="120.96666666666665"/>
    <n v="118.8"/>
    <n v="117.94999999999999"/>
    <n v="113.9"/>
    <n v="115.2"/>
    <n v="113.1"/>
    <n v="112.1"/>
    <x v="0"/>
  </r>
  <r>
    <x v="0"/>
    <x v="1"/>
    <x v="7"/>
    <x v="19"/>
    <n v="121.8"/>
    <n v="122.8"/>
    <n v="117.8"/>
    <n v="121.9"/>
    <n v="110.6"/>
    <n v="129.69999999999999"/>
    <n v="161.1"/>
    <n v="114.1"/>
    <n v="105.1"/>
    <x v="54"/>
    <n v="115.8"/>
    <n v="121.7"/>
    <n v="125.3"/>
    <n v="118.8"/>
    <n v="120.9"/>
    <n v="118.8"/>
    <n v="120.7"/>
    <n v="115.5"/>
    <n v="115.4"/>
    <n v="115.9"/>
    <n v="114"/>
    <n v="113.2"/>
    <n v="112.2"/>
    <n v="116.2"/>
    <n v="109.4"/>
    <n v="113.5"/>
    <n v="120.7"/>
    <n v="121.41666666666664"/>
    <n v="118.8"/>
    <n v="119.85"/>
    <n v="115.4"/>
    <n v="115.9"/>
    <n v="113.2"/>
    <n v="112.2"/>
    <x v="0"/>
  </r>
  <r>
    <x v="1"/>
    <x v="1"/>
    <x v="7"/>
    <x v="19"/>
    <n v="124.8"/>
    <n v="127.3"/>
    <n v="116.5"/>
    <n v="122.2"/>
    <n v="103.6"/>
    <n v="132.69999999999999"/>
    <n v="181.9"/>
    <n v="115.2"/>
    <n v="102.7"/>
    <x v="55"/>
    <n v="114.4"/>
    <n v="124.7"/>
    <n v="128.9"/>
    <n v="123"/>
    <n v="118.6"/>
    <n v="114.1"/>
    <n v="117.9"/>
    <n v="115.5"/>
    <n v="111.8"/>
    <n v="115.3"/>
    <n v="112.2"/>
    <n v="112.5"/>
    <n v="112.9"/>
    <n v="119.2"/>
    <n v="110.5"/>
    <n v="113.9"/>
    <n v="119.9"/>
    <n v="124.00833333333333"/>
    <n v="123"/>
    <n v="116.35"/>
    <n v="111.8"/>
    <n v="115.3"/>
    <n v="112.5"/>
    <n v="112.9"/>
    <x v="0"/>
  </r>
  <r>
    <x v="2"/>
    <x v="1"/>
    <x v="7"/>
    <x v="19"/>
    <n v="122.7"/>
    <n v="124.4"/>
    <n v="117.3"/>
    <n v="122"/>
    <n v="108"/>
    <n v="131.1"/>
    <n v="168.2"/>
    <n v="114.5"/>
    <n v="104.3"/>
    <x v="56"/>
    <n v="115.2"/>
    <n v="123.1"/>
    <n v="126.6"/>
    <n v="119.9"/>
    <n v="120"/>
    <n v="116.8"/>
    <n v="119.6"/>
    <n v="115.5"/>
    <n v="114"/>
    <n v="115.6"/>
    <n v="113.3"/>
    <n v="112.8"/>
    <n v="112.6"/>
    <n v="118"/>
    <n v="109.9"/>
    <n v="113.7"/>
    <n v="120.3"/>
    <n v="122.32499999999999"/>
    <n v="119.9"/>
    <n v="118.4"/>
    <n v="114"/>
    <n v="115.6"/>
    <n v="112.8"/>
    <n v="112.6"/>
    <x v="0"/>
  </r>
  <r>
    <x v="0"/>
    <x v="1"/>
    <x v="8"/>
    <x v="20"/>
    <n v="122.3"/>
    <n v="122.4"/>
    <n v="117.8"/>
    <n v="122.7"/>
    <n v="110.4"/>
    <n v="129.80000000000001"/>
    <n v="158.80000000000001"/>
    <n v="115"/>
    <n v="104.7"/>
    <x v="57"/>
    <n v="116.5"/>
    <n v="122.6"/>
    <n v="125.3"/>
    <n v="119.5"/>
    <n v="121.7"/>
    <n v="119.2"/>
    <n v="121.3"/>
    <n v="116.1"/>
    <n v="115.8"/>
    <n v="116.7"/>
    <n v="114.5"/>
    <n v="112.8"/>
    <n v="112.6"/>
    <n v="116.6"/>
    <n v="109.1"/>
    <n v="113.7"/>
    <n v="120.9"/>
    <n v="121.49166666666667"/>
    <n v="119.5"/>
    <n v="120.45"/>
    <n v="115.8"/>
    <n v="116.7"/>
    <n v="112.8"/>
    <n v="112.6"/>
    <x v="0"/>
  </r>
  <r>
    <x v="1"/>
    <x v="1"/>
    <x v="8"/>
    <x v="20"/>
    <n v="124.2"/>
    <n v="125.4"/>
    <n v="116.4"/>
    <n v="122.7"/>
    <n v="103.5"/>
    <n v="124.5"/>
    <n v="168.6"/>
    <n v="116.9"/>
    <n v="101.9"/>
    <x v="58"/>
    <n v="114.8"/>
    <n v="125.2"/>
    <n v="126.7"/>
    <n v="124.3"/>
    <n v="119.2"/>
    <n v="114.5"/>
    <n v="118.4"/>
    <n v="116.1"/>
    <n v="111.8"/>
    <n v="115.5"/>
    <n v="112.3"/>
    <n v="111.2"/>
    <n v="113.4"/>
    <n v="120"/>
    <n v="110"/>
    <n v="113.6"/>
    <n v="119.2"/>
    <n v="122.25000000000001"/>
    <n v="124.3"/>
    <n v="116.85"/>
    <n v="111.8"/>
    <n v="115.5"/>
    <n v="111.2"/>
    <n v="113.4"/>
    <x v="0"/>
  </r>
  <r>
    <x v="2"/>
    <x v="1"/>
    <x v="8"/>
    <x v="20"/>
    <n v="122.9"/>
    <n v="123.5"/>
    <n v="117.3"/>
    <n v="122.7"/>
    <n v="107.9"/>
    <n v="127.3"/>
    <n v="162.1"/>
    <n v="115.6"/>
    <n v="103.8"/>
    <x v="59"/>
    <n v="115.8"/>
    <n v="123.8"/>
    <n v="125.8"/>
    <n v="120.8"/>
    <n v="120.7"/>
    <n v="117.2"/>
    <n v="120.1"/>
    <n v="116.1"/>
    <n v="114.3"/>
    <n v="116.1"/>
    <n v="113.7"/>
    <n v="112"/>
    <n v="113.1"/>
    <n v="118.6"/>
    <n v="109.5"/>
    <n v="113.7"/>
    <n v="120.1"/>
    <n v="121.69166666666665"/>
    <n v="120.8"/>
    <n v="118.95"/>
    <n v="114.3"/>
    <n v="116.1"/>
    <n v="112"/>
    <n v="113.1"/>
    <x v="0"/>
  </r>
  <r>
    <x v="0"/>
    <x v="1"/>
    <x v="9"/>
    <x v="21"/>
    <n v="122.6"/>
    <n v="122.5"/>
    <n v="118.3"/>
    <n v="123.2"/>
    <n v="110.5"/>
    <n v="128.9"/>
    <n v="155.30000000000001"/>
    <n v="115.5"/>
    <n v="104"/>
    <x v="43"/>
    <n v="116.8"/>
    <n v="123.2"/>
    <n v="125.1"/>
    <n v="120"/>
    <n v="122.7"/>
    <n v="120.3"/>
    <n v="122.3"/>
    <n v="116.7"/>
    <n v="116.4"/>
    <n v="117.5"/>
    <n v="115.3"/>
    <n v="112.6"/>
    <n v="113"/>
    <n v="116.9"/>
    <n v="109.3"/>
    <n v="114"/>
    <n v="121"/>
    <n v="121.34166666666665"/>
    <n v="120"/>
    <n v="121.5"/>
    <n v="116.4"/>
    <n v="117.5"/>
    <n v="112.6"/>
    <n v="113"/>
    <x v="0"/>
  </r>
  <r>
    <x v="1"/>
    <x v="1"/>
    <x v="9"/>
    <x v="21"/>
    <n v="124.6"/>
    <n v="126.1"/>
    <n v="117.8"/>
    <n v="123.1"/>
    <n v="103.5"/>
    <n v="123.5"/>
    <n v="159.6"/>
    <n v="117.4"/>
    <n v="101.2"/>
    <x v="60"/>
    <n v="115.2"/>
    <n v="125.9"/>
    <n v="125.8"/>
    <n v="124.3"/>
    <n v="119.6"/>
    <n v="114.9"/>
    <n v="118.9"/>
    <n v="116.7"/>
    <n v="112"/>
    <n v="115.8"/>
    <n v="112.6"/>
    <n v="111"/>
    <n v="113.6"/>
    <n v="120.2"/>
    <n v="110.1"/>
    <n v="113.7"/>
    <n v="119.1"/>
    <n v="121.80833333333334"/>
    <n v="124.3"/>
    <n v="117.25"/>
    <n v="112"/>
    <n v="115.8"/>
    <n v="111"/>
    <n v="113.6"/>
    <x v="0"/>
  </r>
  <r>
    <x v="2"/>
    <x v="1"/>
    <x v="9"/>
    <x v="21"/>
    <n v="123.2"/>
    <n v="123.8"/>
    <n v="118.1"/>
    <n v="123.2"/>
    <n v="107.9"/>
    <n v="126.4"/>
    <n v="156.80000000000001"/>
    <n v="116.1"/>
    <n v="103.1"/>
    <x v="61"/>
    <n v="116.1"/>
    <n v="124.5"/>
    <n v="125.4"/>
    <n v="121.1"/>
    <n v="121.5"/>
    <n v="118.1"/>
    <n v="121"/>
    <n v="116.7"/>
    <n v="114.7"/>
    <n v="116.7"/>
    <n v="114.3"/>
    <n v="111.8"/>
    <n v="113.3"/>
    <n v="118.8"/>
    <n v="109.6"/>
    <n v="113.9"/>
    <n v="120.1"/>
    <n v="121.44166666666666"/>
    <n v="121.1"/>
    <n v="119.8"/>
    <n v="114.7"/>
    <n v="116.7"/>
    <n v="111.8"/>
    <n v="113.3"/>
    <x v="0"/>
  </r>
  <r>
    <x v="0"/>
    <x v="1"/>
    <x v="10"/>
    <x v="22"/>
    <n v="122.7"/>
    <n v="122.6"/>
    <n v="119.9"/>
    <n v="124"/>
    <n v="110.5"/>
    <n v="128.80000000000001"/>
    <n v="152"/>
    <n v="116.2"/>
    <n v="103.3"/>
    <x v="62"/>
    <n v="116.8"/>
    <n v="124.5"/>
    <n v="124.9"/>
    <n v="120.8"/>
    <n v="123.3"/>
    <n v="120.5"/>
    <n v="122.9"/>
    <n v="117.1"/>
    <n v="117.3"/>
    <n v="118.1"/>
    <n v="115.9"/>
    <n v="112"/>
    <n v="113.3"/>
    <n v="117.2"/>
    <n v="108.8"/>
    <n v="114.1"/>
    <n v="121.1"/>
    <n v="121.425"/>
    <n v="120.8"/>
    <n v="121.9"/>
    <n v="117.3"/>
    <n v="118.1"/>
    <n v="112"/>
    <n v="113.3"/>
    <x v="0"/>
  </r>
  <r>
    <x v="1"/>
    <x v="1"/>
    <x v="10"/>
    <x v="22"/>
    <n v="124.5"/>
    <n v="125.6"/>
    <n v="122.7"/>
    <n v="124.6"/>
    <n v="103.2"/>
    <n v="122.2"/>
    <n v="153.19999999999999"/>
    <n v="119.3"/>
    <n v="99.8"/>
    <x v="63"/>
    <n v="115.8"/>
    <n v="126.9"/>
    <n v="125.4"/>
    <n v="125.8"/>
    <n v="120.3"/>
    <n v="115.4"/>
    <n v="119.5"/>
    <n v="117.1"/>
    <n v="112.6"/>
    <n v="116.4"/>
    <n v="113"/>
    <n v="109.7"/>
    <n v="114"/>
    <n v="120.3"/>
    <n v="109.6"/>
    <n v="113.4"/>
    <n v="119"/>
    <n v="121.86666666666666"/>
    <n v="125.8"/>
    <n v="117.85"/>
    <n v="112.6"/>
    <n v="116.4"/>
    <n v="109.7"/>
    <n v="114"/>
    <x v="0"/>
  </r>
  <r>
    <x v="2"/>
    <x v="1"/>
    <x v="10"/>
    <x v="22"/>
    <n v="123.3"/>
    <n v="123.7"/>
    <n v="121"/>
    <n v="124.2"/>
    <n v="107.8"/>
    <n v="125.7"/>
    <n v="152.4"/>
    <n v="117.2"/>
    <n v="102.1"/>
    <x v="64"/>
    <n v="116.4"/>
    <n v="125.6"/>
    <n v="125.1"/>
    <n v="122.1"/>
    <n v="122.1"/>
    <n v="118.4"/>
    <n v="121.6"/>
    <n v="117.1"/>
    <n v="115.5"/>
    <n v="117.3"/>
    <n v="114.8"/>
    <n v="110.8"/>
    <n v="113.7"/>
    <n v="119"/>
    <n v="109.1"/>
    <n v="113.8"/>
    <n v="120.1"/>
    <n v="121.50833333333334"/>
    <n v="122.1"/>
    <n v="120.25"/>
    <n v="115.5"/>
    <n v="117.3"/>
    <n v="110.8"/>
    <n v="113.7"/>
    <x v="0"/>
  </r>
  <r>
    <x v="0"/>
    <x v="1"/>
    <x v="11"/>
    <x v="23"/>
    <n v="122.4"/>
    <n v="122.4"/>
    <n v="121.8"/>
    <n v="124.2"/>
    <n v="110.2"/>
    <n v="128.6"/>
    <n v="140.30000000000001"/>
    <n v="116.3"/>
    <n v="102"/>
    <x v="65"/>
    <n v="117.3"/>
    <n v="124.8"/>
    <n v="123.3"/>
    <n v="121.7"/>
    <n v="123.8"/>
    <n v="120.6"/>
    <n v="123.3"/>
    <n v="116.5"/>
    <n v="117.4"/>
    <n v="118.2"/>
    <n v="116.2"/>
    <n v="111.5"/>
    <n v="113.3"/>
    <n v="117.7"/>
    <n v="109.4"/>
    <n v="114.2"/>
    <n v="120.3"/>
    <n v="120.52499999999999"/>
    <n v="121.7"/>
    <n v="122.19999999999999"/>
    <n v="117.4"/>
    <n v="118.2"/>
    <n v="111.5"/>
    <n v="113.3"/>
    <x v="0"/>
  </r>
  <r>
    <x v="1"/>
    <x v="1"/>
    <x v="11"/>
    <x v="23"/>
    <n v="124"/>
    <n v="124.7"/>
    <n v="126.3"/>
    <n v="124.9"/>
    <n v="103"/>
    <n v="122.3"/>
    <n v="141"/>
    <n v="120.1"/>
    <n v="97.8"/>
    <x v="66"/>
    <n v="116.1"/>
    <n v="127.6"/>
    <n v="124"/>
    <n v="126.4"/>
    <n v="120.7"/>
    <n v="115.8"/>
    <n v="120"/>
    <n v="116.5"/>
    <n v="113"/>
    <n v="116.8"/>
    <n v="113.2"/>
    <n v="108.8"/>
    <n v="114.3"/>
    <n v="120.7"/>
    <n v="110.4"/>
    <n v="113.4"/>
    <n v="118.4"/>
    <n v="121.09999999999998"/>
    <n v="126.4"/>
    <n v="118.25"/>
    <n v="113"/>
    <n v="116.8"/>
    <n v="108.8"/>
    <n v="114.3"/>
    <x v="0"/>
  </r>
  <r>
    <x v="2"/>
    <x v="1"/>
    <x v="11"/>
    <x v="23"/>
    <n v="122.9"/>
    <n v="123.2"/>
    <n v="123.5"/>
    <n v="124.5"/>
    <n v="107.6"/>
    <n v="125.7"/>
    <n v="140.5"/>
    <n v="117.6"/>
    <n v="100.6"/>
    <x v="67"/>
    <n v="116.8"/>
    <n v="126.1"/>
    <n v="123.6"/>
    <n v="123"/>
    <n v="122.6"/>
    <n v="118.6"/>
    <n v="122"/>
    <n v="116.5"/>
    <n v="115.7"/>
    <n v="117.5"/>
    <n v="115.1"/>
    <n v="110.1"/>
    <n v="113.9"/>
    <n v="119.5"/>
    <n v="109.8"/>
    <n v="113.8"/>
    <n v="119.4"/>
    <n v="120.675"/>
    <n v="123"/>
    <n v="120.6"/>
    <n v="115.7"/>
    <n v="117.5"/>
    <n v="110.1"/>
    <n v="113.9"/>
    <x v="0"/>
  </r>
  <r>
    <x v="0"/>
    <x v="2"/>
    <x v="0"/>
    <x v="24"/>
    <n v="123.1"/>
    <n v="123.1"/>
    <n v="122.1"/>
    <n v="124.9"/>
    <n v="111"/>
    <n v="130.4"/>
    <n v="132.30000000000001"/>
    <n v="117.2"/>
    <n v="100.5"/>
    <x v="68"/>
    <n v="117.9"/>
    <n v="125.6"/>
    <n v="122.8"/>
    <n v="122.7"/>
    <n v="124.4"/>
    <n v="121.6"/>
    <n v="124"/>
    <n v="117.3"/>
    <n v="118.4"/>
    <n v="118.9"/>
    <n v="116.6"/>
    <n v="111"/>
    <n v="114"/>
    <n v="118.2"/>
    <n v="110.2"/>
    <n v="114.5"/>
    <n v="120.3"/>
    <n v="120.44166666666666"/>
    <n v="122.7"/>
    <n v="123"/>
    <n v="118.4"/>
    <n v="118.9"/>
    <n v="111"/>
    <n v="114"/>
    <x v="0"/>
  </r>
  <r>
    <x v="1"/>
    <x v="2"/>
    <x v="0"/>
    <x v="24"/>
    <n v="124"/>
    <n v="125.5"/>
    <n v="126.6"/>
    <n v="125.2"/>
    <n v="104.3"/>
    <n v="121.3"/>
    <n v="134.4"/>
    <n v="122.9"/>
    <n v="96.1"/>
    <x v="69"/>
    <n v="116.5"/>
    <n v="128"/>
    <n v="123.5"/>
    <n v="127.4"/>
    <n v="121"/>
    <n v="116.1"/>
    <n v="120.2"/>
    <n v="117.3"/>
    <n v="113.4"/>
    <n v="117.2"/>
    <n v="113.7"/>
    <n v="107.9"/>
    <n v="114.6"/>
    <n v="120.8"/>
    <n v="111.4"/>
    <n v="113.4"/>
    <n v="118.5"/>
    <n v="120.94999999999999"/>
    <n v="127.4"/>
    <n v="118.55"/>
    <n v="113.4"/>
    <n v="117.2"/>
    <n v="107.9"/>
    <n v="114.6"/>
    <x v="0"/>
  </r>
  <r>
    <x v="2"/>
    <x v="2"/>
    <x v="0"/>
    <x v="24"/>
    <n v="123.4"/>
    <n v="123.9"/>
    <n v="123.8"/>
    <n v="125"/>
    <n v="108.5"/>
    <n v="126.2"/>
    <n v="133"/>
    <n v="119.1"/>
    <n v="99"/>
    <x v="70"/>
    <n v="117.3"/>
    <n v="126.7"/>
    <n v="123.1"/>
    <n v="124"/>
    <n v="123.1"/>
    <n v="119.3"/>
    <n v="122.5"/>
    <n v="117.3"/>
    <n v="116.5"/>
    <n v="118.1"/>
    <n v="115.5"/>
    <n v="109.4"/>
    <n v="114.3"/>
    <n v="119.7"/>
    <n v="110.7"/>
    <n v="114"/>
    <n v="119.5"/>
    <n v="120.51666666666667"/>
    <n v="124"/>
    <n v="121.19999999999999"/>
    <n v="116.5"/>
    <n v="118.1"/>
    <n v="109.4"/>
    <n v="114.3"/>
    <x v="0"/>
  </r>
  <r>
    <x v="0"/>
    <x v="2"/>
    <x v="1"/>
    <x v="25"/>
    <n v="123.4"/>
    <n v="124.4"/>
    <n v="122.1"/>
    <n v="125.8"/>
    <n v="111.5"/>
    <n v="129.4"/>
    <n v="128.19999999999999"/>
    <n v="118.8"/>
    <n v="100"/>
    <x v="71"/>
    <n v="118.8"/>
    <n v="126.8"/>
    <n v="122.8"/>
    <n v="124.2"/>
    <n v="125.4"/>
    <n v="122.7"/>
    <n v="125"/>
    <n v="118.1"/>
    <n v="120"/>
    <n v="119.6"/>
    <n v="117.7"/>
    <n v="110.9"/>
    <n v="114.8"/>
    <n v="118.7"/>
    <n v="110.8"/>
    <n v="115"/>
    <n v="120.6"/>
    <n v="120.64999999999998"/>
    <n v="124.2"/>
    <n v="124.05000000000001"/>
    <n v="120"/>
    <n v="119.6"/>
    <n v="110.9"/>
    <n v="114.8"/>
    <x v="0"/>
  </r>
  <r>
    <x v="1"/>
    <x v="2"/>
    <x v="1"/>
    <x v="25"/>
    <n v="124.3"/>
    <n v="126.5"/>
    <n v="119.5"/>
    <n v="125.6"/>
    <n v="104.9"/>
    <n v="121.6"/>
    <n v="131.80000000000001"/>
    <n v="125.1"/>
    <n v="95"/>
    <x v="72"/>
    <n v="116.8"/>
    <n v="128.6"/>
    <n v="123.7"/>
    <n v="128.1"/>
    <n v="121.3"/>
    <n v="116.5"/>
    <n v="120.6"/>
    <n v="118.1"/>
    <n v="114"/>
    <n v="117.7"/>
    <n v="114.1"/>
    <n v="106.8"/>
    <n v="114.9"/>
    <n v="120.4"/>
    <n v="111.7"/>
    <n v="113.2"/>
    <n v="118.7"/>
    <n v="120.61666666666667"/>
    <n v="128.1"/>
    <n v="118.9"/>
    <n v="114"/>
    <n v="117.7"/>
    <n v="106.8"/>
    <n v="114.9"/>
    <x v="0"/>
  </r>
  <r>
    <x v="2"/>
    <x v="2"/>
    <x v="1"/>
    <x v="25"/>
    <n v="123.7"/>
    <n v="125.1"/>
    <n v="121.1"/>
    <n v="125.7"/>
    <n v="109.1"/>
    <n v="125.8"/>
    <n v="129.4"/>
    <n v="120.9"/>
    <n v="98.3"/>
    <x v="73"/>
    <n v="118"/>
    <n v="127.6"/>
    <n v="123.1"/>
    <n v="125.2"/>
    <n v="123.8"/>
    <n v="120.1"/>
    <n v="123.3"/>
    <n v="118.1"/>
    <n v="117.7"/>
    <n v="118.7"/>
    <n v="116.3"/>
    <n v="108.7"/>
    <n v="114.9"/>
    <n v="119.7"/>
    <n v="111.2"/>
    <n v="114.1"/>
    <n v="119.7"/>
    <n v="120.52499999999998"/>
    <n v="125.2"/>
    <n v="121.94999999999999"/>
    <n v="117.7"/>
    <n v="118.7"/>
    <n v="108.7"/>
    <n v="114.9"/>
    <x v="0"/>
  </r>
  <r>
    <x v="0"/>
    <x v="2"/>
    <x v="2"/>
    <x v="26"/>
    <n v="123.3"/>
    <n v="124.7"/>
    <n v="118.9"/>
    <n v="126"/>
    <n v="111.8"/>
    <n v="130.9"/>
    <n v="128"/>
    <n v="119.9"/>
    <n v="98.9"/>
    <x v="74"/>
    <n v="118.9"/>
    <n v="127.7"/>
    <n v="123.1"/>
    <n v="124.7"/>
    <n v="126"/>
    <n v="122.9"/>
    <n v="125.5"/>
    <n v="118.6"/>
    <n v="120.6"/>
    <n v="120.2"/>
    <n v="118.2"/>
    <n v="111.6"/>
    <n v="115.5"/>
    <n v="119.4"/>
    <n v="110.8"/>
    <n v="115.5"/>
    <n v="121.1"/>
    <n v="120.7"/>
    <n v="124.7"/>
    <n v="124.45"/>
    <n v="120.6"/>
    <n v="120.2"/>
    <n v="111.6"/>
    <n v="115.5"/>
    <x v="0"/>
  </r>
  <r>
    <x v="1"/>
    <x v="2"/>
    <x v="2"/>
    <x v="26"/>
    <n v="124"/>
    <n v="126.7"/>
    <n v="113.5"/>
    <n v="125.9"/>
    <n v="104.8"/>
    <n v="123.8"/>
    <n v="131.4"/>
    <n v="127.2"/>
    <n v="93.2"/>
    <x v="75"/>
    <n v="117"/>
    <n v="129.19999999999999"/>
    <n v="123.9"/>
    <n v="128.80000000000001"/>
    <n v="121.7"/>
    <n v="116.9"/>
    <n v="120.9"/>
    <n v="118.6"/>
    <n v="114.4"/>
    <n v="118"/>
    <n v="114.3"/>
    <n v="108.4"/>
    <n v="115.4"/>
    <n v="120.6"/>
    <n v="111.3"/>
    <n v="113.8"/>
    <n v="119.1"/>
    <n v="120.34166666666668"/>
    <n v="128.80000000000001"/>
    <n v="119.30000000000001"/>
    <n v="114.4"/>
    <n v="118"/>
    <n v="108.4"/>
    <n v="115.4"/>
    <x v="0"/>
  </r>
  <r>
    <x v="2"/>
    <x v="2"/>
    <x v="2"/>
    <x v="26"/>
    <n v="123.5"/>
    <n v="125.4"/>
    <n v="116.8"/>
    <n v="126"/>
    <n v="109.2"/>
    <n v="127.6"/>
    <n v="129.19999999999999"/>
    <n v="122.4"/>
    <n v="97"/>
    <x v="55"/>
    <n v="118.1"/>
    <n v="128.4"/>
    <n v="123.4"/>
    <n v="125.8"/>
    <n v="124.3"/>
    <n v="120.4"/>
    <n v="123.7"/>
    <n v="118.6"/>
    <n v="118.3"/>
    <n v="119.2"/>
    <n v="116.7"/>
    <n v="109.9"/>
    <n v="115.4"/>
    <n v="120.1"/>
    <n v="111"/>
    <n v="114.7"/>
    <n v="120.2"/>
    <n v="120.47499999999998"/>
    <n v="125.8"/>
    <n v="122.35"/>
    <n v="118.3"/>
    <n v="119.2"/>
    <n v="109.9"/>
    <n v="115.4"/>
    <x v="0"/>
  </r>
  <r>
    <x v="0"/>
    <x v="2"/>
    <x v="3"/>
    <x v="27"/>
    <n v="123.3"/>
    <n v="125.5"/>
    <n v="117.2"/>
    <n v="126.8"/>
    <n v="111.9"/>
    <n v="134.19999999999999"/>
    <n v="127.5"/>
    <n v="121.5"/>
    <n v="97.8"/>
    <x v="76"/>
    <n v="119.4"/>
    <n v="128.69999999999999"/>
    <n v="123.6"/>
    <n v="125.7"/>
    <n v="126.4"/>
    <n v="123.3"/>
    <n v="126"/>
    <n v="119.2"/>
    <n v="121.2"/>
    <n v="120.9"/>
    <n v="118.6"/>
    <n v="111.9"/>
    <n v="116.2"/>
    <n v="119.9"/>
    <n v="111.6"/>
    <n v="116"/>
    <n v="121.5"/>
    <n v="121.13333333333334"/>
    <n v="125.7"/>
    <n v="124.85"/>
    <n v="121.2"/>
    <n v="120.9"/>
    <n v="111.9"/>
    <n v="116.2"/>
    <x v="0"/>
  </r>
  <r>
    <x v="1"/>
    <x v="2"/>
    <x v="3"/>
    <x v="27"/>
    <n v="123.8"/>
    <n v="128.19999999999999"/>
    <n v="110"/>
    <n v="126.3"/>
    <n v="104.5"/>
    <n v="130.6"/>
    <n v="130.80000000000001"/>
    <n v="131.30000000000001"/>
    <n v="91.6"/>
    <x v="72"/>
    <n v="117.2"/>
    <n v="129.5"/>
    <n v="124.6"/>
    <n v="130.1"/>
    <n v="122.1"/>
    <n v="117.2"/>
    <n v="121.3"/>
    <n v="119.2"/>
    <n v="114.7"/>
    <n v="118.4"/>
    <n v="114.6"/>
    <n v="108.4"/>
    <n v="115.6"/>
    <n v="121.7"/>
    <n v="111.8"/>
    <n v="114.2"/>
    <n v="119.7"/>
    <n v="120.95833333333333"/>
    <n v="130.1"/>
    <n v="119.65"/>
    <n v="114.7"/>
    <n v="118.4"/>
    <n v="108.4"/>
    <n v="115.6"/>
    <x v="0"/>
  </r>
  <r>
    <x v="2"/>
    <x v="2"/>
    <x v="3"/>
    <x v="27"/>
    <n v="123.5"/>
    <n v="126.4"/>
    <n v="114.4"/>
    <n v="126.6"/>
    <n v="109.2"/>
    <n v="132.5"/>
    <n v="128.6"/>
    <n v="124.8"/>
    <n v="95.7"/>
    <x v="77"/>
    <n v="118.5"/>
    <n v="129.1"/>
    <n v="124"/>
    <n v="126.9"/>
    <n v="124.7"/>
    <n v="120.8"/>
    <n v="124.1"/>
    <n v="119.2"/>
    <n v="118.7"/>
    <n v="119.7"/>
    <n v="117.1"/>
    <n v="110.1"/>
    <n v="115.9"/>
    <n v="121"/>
    <n v="111.7"/>
    <n v="115.1"/>
    <n v="120.7"/>
    <n v="120.97500000000001"/>
    <n v="126.9"/>
    <n v="122.75"/>
    <n v="118.7"/>
    <n v="119.7"/>
    <n v="110.1"/>
    <n v="115.9"/>
    <x v="0"/>
  </r>
  <r>
    <x v="0"/>
    <x v="2"/>
    <x v="4"/>
    <x v="28"/>
    <n v="123.5"/>
    <n v="127.1"/>
    <n v="117.3"/>
    <n v="127.7"/>
    <n v="112.5"/>
    <n v="134.1"/>
    <n v="128.5"/>
    <n v="124.3"/>
    <n v="97.6"/>
    <x v="78"/>
    <n v="120.2"/>
    <n v="129.80000000000001"/>
    <n v="124.4"/>
    <n v="126.7"/>
    <n v="127.3"/>
    <n v="124.1"/>
    <n v="126.8"/>
    <n v="119.6"/>
    <n v="121.9"/>
    <n v="121.5"/>
    <n v="119.4"/>
    <n v="113.3"/>
    <n v="116.7"/>
    <n v="120.5"/>
    <n v="112.3"/>
    <n v="116.9"/>
    <n v="122.4"/>
    <n v="121.94166666666666"/>
    <n v="126.7"/>
    <n v="125.69999999999999"/>
    <n v="121.9"/>
    <n v="121.5"/>
    <n v="113.3"/>
    <n v="116.7"/>
    <x v="0"/>
  </r>
  <r>
    <x v="1"/>
    <x v="2"/>
    <x v="4"/>
    <x v="28"/>
    <n v="123.8"/>
    <n v="129.69999999999999"/>
    <n v="111.3"/>
    <n v="126.6"/>
    <n v="105.2"/>
    <n v="130.80000000000001"/>
    <n v="135.6"/>
    <n v="142.6"/>
    <n v="90.8"/>
    <x v="79"/>
    <n v="117.7"/>
    <n v="129.9"/>
    <n v="126.1"/>
    <n v="131.30000000000001"/>
    <n v="122.4"/>
    <n v="117.4"/>
    <n v="121.6"/>
    <n v="119.6"/>
    <n v="114.9"/>
    <n v="118.7"/>
    <n v="114.9"/>
    <n v="110.8"/>
    <n v="116"/>
    <n v="122"/>
    <n v="112.4"/>
    <n v="115.2"/>
    <n v="120.7"/>
    <n v="122.73333333333335"/>
    <n v="131.30000000000001"/>
    <n v="119.9"/>
    <n v="114.9"/>
    <n v="118.7"/>
    <n v="110.8"/>
    <n v="116"/>
    <x v="0"/>
  </r>
  <r>
    <x v="2"/>
    <x v="2"/>
    <x v="4"/>
    <x v="28"/>
    <n v="123.6"/>
    <n v="128"/>
    <n v="115"/>
    <n v="127.3"/>
    <n v="109.8"/>
    <n v="132.6"/>
    <n v="130.9"/>
    <n v="130.5"/>
    <n v="95.3"/>
    <x v="80"/>
    <n v="119.2"/>
    <n v="129.80000000000001"/>
    <n v="125"/>
    <n v="127.9"/>
    <n v="125.4"/>
    <n v="121.3"/>
    <n v="124.7"/>
    <n v="119.6"/>
    <n v="119.2"/>
    <n v="120.2"/>
    <n v="117.7"/>
    <n v="112"/>
    <n v="116.3"/>
    <n v="121.4"/>
    <n v="112.3"/>
    <n v="116.1"/>
    <n v="121.6"/>
    <n v="122.11666666666667"/>
    <n v="127.9"/>
    <n v="123.35"/>
    <n v="119.2"/>
    <n v="120.2"/>
    <n v="112"/>
    <n v="116.3"/>
    <x v="0"/>
  </r>
  <r>
    <x v="0"/>
    <x v="2"/>
    <x v="5"/>
    <x v="29"/>
    <n v="124.1"/>
    <n v="130.4"/>
    <n v="122.1"/>
    <n v="128.69999999999999"/>
    <n v="114.1"/>
    <n v="133.19999999999999"/>
    <n v="135.19999999999999"/>
    <n v="131.9"/>
    <n v="96.3"/>
    <x v="81"/>
    <n v="121.1"/>
    <n v="131.19999999999999"/>
    <n v="126.6"/>
    <n v="128.19999999999999"/>
    <n v="128.4"/>
    <n v="125.1"/>
    <n v="128"/>
    <n v="119"/>
    <n v="122.6"/>
    <n v="122.8"/>
    <n v="120.4"/>
    <n v="114.2"/>
    <n v="117.9"/>
    <n v="122"/>
    <n v="113"/>
    <n v="117.9"/>
    <n v="124.1"/>
    <n v="124.27499999999999"/>
    <n v="128.19999999999999"/>
    <n v="126.75"/>
    <n v="122.6"/>
    <n v="122.8"/>
    <n v="114.2"/>
    <n v="117.9"/>
    <x v="0"/>
  </r>
  <r>
    <x v="1"/>
    <x v="2"/>
    <x v="5"/>
    <x v="29"/>
    <n v="123.6"/>
    <n v="134.4"/>
    <n v="120.9"/>
    <n v="127.3"/>
    <n v="106"/>
    <n v="132.30000000000001"/>
    <n v="146.69999999999999"/>
    <n v="148.1"/>
    <n v="89.8"/>
    <x v="82"/>
    <n v="118"/>
    <n v="130.5"/>
    <n v="128.5"/>
    <n v="132.1"/>
    <n v="123.2"/>
    <n v="117.6"/>
    <n v="122.3"/>
    <n v="119"/>
    <n v="115.1"/>
    <n v="119.2"/>
    <n v="115.4"/>
    <n v="111.7"/>
    <n v="116.2"/>
    <n v="123.8"/>
    <n v="112.5"/>
    <n v="116"/>
    <n v="121.7"/>
    <n v="125.675"/>
    <n v="132.1"/>
    <n v="120.4"/>
    <n v="115.1"/>
    <n v="119.2"/>
    <n v="111.7"/>
    <n v="116.2"/>
    <x v="0"/>
  </r>
  <r>
    <x v="2"/>
    <x v="2"/>
    <x v="5"/>
    <x v="29"/>
    <n v="123.9"/>
    <n v="131.80000000000001"/>
    <n v="121.6"/>
    <n v="128.19999999999999"/>
    <n v="111.1"/>
    <n v="132.80000000000001"/>
    <n v="139.1"/>
    <n v="137.4"/>
    <n v="94.1"/>
    <x v="83"/>
    <n v="119.8"/>
    <n v="130.9"/>
    <n v="127.3"/>
    <n v="129.19999999999999"/>
    <n v="126.4"/>
    <n v="122"/>
    <n v="125.7"/>
    <n v="119"/>
    <n v="119.8"/>
    <n v="121.1"/>
    <n v="118.5"/>
    <n v="112.9"/>
    <n v="116.9"/>
    <n v="123.1"/>
    <n v="112.8"/>
    <n v="117"/>
    <n v="123"/>
    <n v="124.68333333333334"/>
    <n v="129.19999999999999"/>
    <n v="124.2"/>
    <n v="119.8"/>
    <n v="121.1"/>
    <n v="112.9"/>
    <n v="116.9"/>
    <x v="0"/>
  </r>
  <r>
    <x v="0"/>
    <x v="2"/>
    <x v="6"/>
    <x v="30"/>
    <n v="124"/>
    <n v="131.5"/>
    <n v="122"/>
    <n v="128.69999999999999"/>
    <n v="113.5"/>
    <n v="133.30000000000001"/>
    <n v="140.80000000000001"/>
    <n v="133.80000000000001"/>
    <n v="94.1"/>
    <x v="80"/>
    <n v="121"/>
    <n v="131.69999999999999"/>
    <n v="127.5"/>
    <n v="129.4"/>
    <n v="128.80000000000001"/>
    <n v="125.5"/>
    <n v="128.30000000000001"/>
    <n v="119.9"/>
    <n v="123"/>
    <n v="123"/>
    <n v="120.8"/>
    <n v="114.1"/>
    <n v="118"/>
    <n v="122.9"/>
    <n v="112.7"/>
    <n v="118.1"/>
    <n v="124.7"/>
    <n v="124.81666666666666"/>
    <n v="129.4"/>
    <n v="127.15"/>
    <n v="123"/>
    <n v="123"/>
    <n v="114.1"/>
    <n v="118"/>
    <x v="0"/>
  </r>
  <r>
    <x v="1"/>
    <x v="2"/>
    <x v="6"/>
    <x v="30"/>
    <n v="123.2"/>
    <n v="134.30000000000001"/>
    <n v="119.5"/>
    <n v="127.7"/>
    <n v="106.3"/>
    <n v="132.80000000000001"/>
    <n v="153.5"/>
    <n v="149.5"/>
    <n v="85.7"/>
    <x v="84"/>
    <n v="118.3"/>
    <n v="131.1"/>
    <n v="129.5"/>
    <n v="133.1"/>
    <n v="123.5"/>
    <n v="117.9"/>
    <n v="122.7"/>
    <n v="119.9"/>
    <n v="115.3"/>
    <n v="119.5"/>
    <n v="116"/>
    <n v="111.5"/>
    <n v="116.6"/>
    <n v="125.4"/>
    <n v="111.7"/>
    <n v="116.3"/>
    <n v="122.4"/>
    <n v="126.11666666666666"/>
    <n v="133.1"/>
    <n v="120.7"/>
    <n v="115.3"/>
    <n v="119.5"/>
    <n v="111.5"/>
    <n v="116.6"/>
    <x v="0"/>
  </r>
  <r>
    <x v="2"/>
    <x v="2"/>
    <x v="6"/>
    <x v="30"/>
    <n v="123.7"/>
    <n v="132.5"/>
    <n v="121"/>
    <n v="128.30000000000001"/>
    <n v="110.9"/>
    <n v="133.1"/>
    <n v="145.1"/>
    <n v="139.1"/>
    <n v="91.3"/>
    <x v="85"/>
    <n v="119.9"/>
    <n v="131.4"/>
    <n v="128.19999999999999"/>
    <n v="130.4"/>
    <n v="126.7"/>
    <n v="122.3"/>
    <n v="126.1"/>
    <n v="119.9"/>
    <n v="120.1"/>
    <n v="121.3"/>
    <n v="119"/>
    <n v="112.7"/>
    <n v="117.2"/>
    <n v="124.4"/>
    <n v="112.3"/>
    <n v="117.2"/>
    <n v="123.6"/>
    <n v="125.2"/>
    <n v="130.4"/>
    <n v="124.5"/>
    <n v="120.1"/>
    <n v="121.3"/>
    <n v="112.7"/>
    <n v="117.2"/>
    <x v="0"/>
  </r>
  <r>
    <x v="0"/>
    <x v="2"/>
    <x v="7"/>
    <x v="31"/>
    <n v="124.7"/>
    <n v="131.30000000000001"/>
    <n v="121.3"/>
    <n v="128.80000000000001"/>
    <n v="114"/>
    <n v="134.19999999999999"/>
    <n v="153.6"/>
    <n v="137.9"/>
    <n v="93.1"/>
    <x v="86"/>
    <n v="121.5"/>
    <n v="132.5"/>
    <n v="129.80000000000001"/>
    <n v="130.1"/>
    <n v="129.5"/>
    <n v="126.3"/>
    <n v="129"/>
    <n v="120.9"/>
    <n v="123.8"/>
    <n v="123.7"/>
    <n v="121.1"/>
    <n v="113.6"/>
    <n v="118.5"/>
    <n v="123.6"/>
    <n v="112.5"/>
    <n v="118.2"/>
    <n v="126.1"/>
    <n v="126.39999999999999"/>
    <n v="130.1"/>
    <n v="127.9"/>
    <n v="123.8"/>
    <n v="123.7"/>
    <n v="113.6"/>
    <n v="118.5"/>
    <x v="0"/>
  </r>
  <r>
    <x v="1"/>
    <x v="2"/>
    <x v="7"/>
    <x v="31"/>
    <n v="123.1"/>
    <n v="131.69999999999999"/>
    <n v="118.1"/>
    <n v="128"/>
    <n v="106.8"/>
    <n v="130.1"/>
    <n v="165.5"/>
    <n v="156"/>
    <n v="85.3"/>
    <x v="87"/>
    <n v="118.8"/>
    <n v="131.69999999999999"/>
    <n v="131.1"/>
    <n v="134.19999999999999"/>
    <n v="123.7"/>
    <n v="118.2"/>
    <n v="122.9"/>
    <n v="120.9"/>
    <n v="115.3"/>
    <n v="120"/>
    <n v="116.6"/>
    <n v="109.9"/>
    <n v="117.2"/>
    <n v="126.2"/>
    <n v="112"/>
    <n v="116.2"/>
    <n v="123.2"/>
    <n v="127.31666666666666"/>
    <n v="134.19999999999999"/>
    <n v="120.95"/>
    <n v="115.3"/>
    <n v="120"/>
    <n v="109.9"/>
    <n v="117.2"/>
    <x v="0"/>
  </r>
  <r>
    <x v="2"/>
    <x v="2"/>
    <x v="7"/>
    <x v="31"/>
    <n v="124.2"/>
    <n v="131.4"/>
    <n v="120.1"/>
    <n v="128.5"/>
    <n v="111.4"/>
    <n v="132.30000000000001"/>
    <n v="157.6"/>
    <n v="144"/>
    <n v="90.5"/>
    <x v="88"/>
    <n v="120.4"/>
    <n v="132.1"/>
    <n v="130.30000000000001"/>
    <n v="131.19999999999999"/>
    <n v="127.2"/>
    <n v="122.9"/>
    <n v="126.6"/>
    <n v="120.9"/>
    <n v="120.6"/>
    <n v="122"/>
    <n v="119.4"/>
    <n v="111.7"/>
    <n v="117.8"/>
    <n v="125.1"/>
    <n v="112.3"/>
    <n v="117.2"/>
    <n v="124.8"/>
    <n v="126.60833333333333"/>
    <n v="131.19999999999999"/>
    <n v="125.05000000000001"/>
    <n v="120.6"/>
    <n v="122"/>
    <n v="111.7"/>
    <n v="117.8"/>
    <x v="0"/>
  </r>
  <r>
    <x v="0"/>
    <x v="2"/>
    <x v="8"/>
    <x v="32"/>
    <n v="125.1"/>
    <n v="131.1"/>
    <n v="120.7"/>
    <n v="129.19999999999999"/>
    <n v="114.7"/>
    <n v="132.30000000000001"/>
    <n v="158.9"/>
    <n v="142.1"/>
    <n v="92.5"/>
    <x v="66"/>
    <n v="121.9"/>
    <n v="132.69999999999999"/>
    <n v="131"/>
    <n v="131"/>
    <n v="130.4"/>
    <n v="126.8"/>
    <n v="129.9"/>
    <n v="121.6"/>
    <n v="123.7"/>
    <n v="124.5"/>
    <n v="121.4"/>
    <n v="113.8"/>
    <n v="119.6"/>
    <n v="124.5"/>
    <n v="113.7"/>
    <n v="118.8"/>
    <n v="127"/>
    <n v="127.21666666666668"/>
    <n v="131"/>
    <n v="128.6"/>
    <n v="123.7"/>
    <n v="124.5"/>
    <n v="113.8"/>
    <n v="119.6"/>
    <x v="0"/>
  </r>
  <r>
    <x v="1"/>
    <x v="2"/>
    <x v="8"/>
    <x v="32"/>
    <n v="123.4"/>
    <n v="129"/>
    <n v="115.6"/>
    <n v="128.30000000000001"/>
    <n v="107"/>
    <n v="124"/>
    <n v="168.5"/>
    <n v="165.4"/>
    <n v="86.3"/>
    <x v="89"/>
    <n v="119.1"/>
    <n v="132.30000000000001"/>
    <n v="131.5"/>
    <n v="134.69999999999999"/>
    <n v="124"/>
    <n v="118.6"/>
    <n v="123.2"/>
    <n v="121.6"/>
    <n v="115.1"/>
    <n v="120.4"/>
    <n v="117.1"/>
    <n v="109.1"/>
    <n v="117.3"/>
    <n v="126.5"/>
    <n v="112.9"/>
    <n v="116.2"/>
    <n v="123.5"/>
    <n v="127.77499999999999"/>
    <n v="134.69999999999999"/>
    <n v="121.3"/>
    <n v="115.1"/>
    <n v="120.4"/>
    <n v="109.1"/>
    <n v="117.3"/>
    <x v="0"/>
  </r>
  <r>
    <x v="2"/>
    <x v="2"/>
    <x v="8"/>
    <x v="32"/>
    <n v="124.6"/>
    <n v="130.4"/>
    <n v="118.7"/>
    <n v="128.9"/>
    <n v="111.9"/>
    <n v="128.4"/>
    <n v="162.19999999999999"/>
    <n v="150"/>
    <n v="90.4"/>
    <x v="90"/>
    <n v="120.7"/>
    <n v="132.5"/>
    <n v="131.19999999999999"/>
    <n v="132"/>
    <n v="127.9"/>
    <n v="123.4"/>
    <n v="127.2"/>
    <n v="121.6"/>
    <n v="120.4"/>
    <n v="122.6"/>
    <n v="119.8"/>
    <n v="111.3"/>
    <n v="118.3"/>
    <n v="125.7"/>
    <n v="113.4"/>
    <n v="117.5"/>
    <n v="125.4"/>
    <n v="127.25833333333334"/>
    <n v="132"/>
    <n v="125.65"/>
    <n v="120.4"/>
    <n v="122.6"/>
    <n v="111.3"/>
    <n v="118.3"/>
    <x v="0"/>
  </r>
  <r>
    <x v="0"/>
    <x v="2"/>
    <x v="9"/>
    <x v="33"/>
    <n v="125.6"/>
    <n v="130.4"/>
    <n v="120.8"/>
    <n v="129.4"/>
    <n v="115.8"/>
    <n v="133.19999999999999"/>
    <n v="157.69999999999999"/>
    <n v="154.19999999999999"/>
    <n v="93.7"/>
    <x v="69"/>
    <n v="122.3"/>
    <n v="133.1"/>
    <n v="131.80000000000001"/>
    <n v="131.5"/>
    <n v="131.1"/>
    <n v="127.3"/>
    <n v="130.6"/>
    <n v="122.4"/>
    <n v="124.4"/>
    <n v="125.1"/>
    <n v="122"/>
    <n v="113.8"/>
    <n v="120.1"/>
    <n v="125.1"/>
    <n v="114.2"/>
    <n v="119.2"/>
    <n v="127.7"/>
    <n v="128.56666666666666"/>
    <n v="131.5"/>
    <n v="129.19999999999999"/>
    <n v="124.4"/>
    <n v="125.1"/>
    <n v="113.8"/>
    <n v="120.1"/>
    <x v="0"/>
  </r>
  <r>
    <x v="1"/>
    <x v="2"/>
    <x v="9"/>
    <x v="33"/>
    <n v="123.6"/>
    <n v="128.6"/>
    <n v="115.9"/>
    <n v="128.5"/>
    <n v="109"/>
    <n v="124.1"/>
    <n v="165.8"/>
    <n v="187.2"/>
    <n v="89.4"/>
    <x v="91"/>
    <n v="119.4"/>
    <n v="132.9"/>
    <n v="132.6"/>
    <n v="135.30000000000001"/>
    <n v="124.4"/>
    <n v="118.8"/>
    <n v="123.6"/>
    <n v="122.4"/>
    <n v="114.9"/>
    <n v="120.7"/>
    <n v="117.7"/>
    <n v="109.3"/>
    <n v="117.7"/>
    <n v="126.5"/>
    <n v="113.5"/>
    <n v="116.5"/>
    <n v="124.2"/>
    <n v="130.01666666666668"/>
    <n v="135.30000000000001"/>
    <n v="121.6"/>
    <n v="114.9"/>
    <n v="120.7"/>
    <n v="109.3"/>
    <n v="117.7"/>
    <x v="0"/>
  </r>
  <r>
    <x v="2"/>
    <x v="2"/>
    <x v="9"/>
    <x v="33"/>
    <n v="125"/>
    <n v="129.80000000000001"/>
    <n v="118.9"/>
    <n v="129.1"/>
    <n v="113.3"/>
    <n v="129"/>
    <n v="160.4"/>
    <n v="165.3"/>
    <n v="92.3"/>
    <x v="92"/>
    <n v="121.1"/>
    <n v="133"/>
    <n v="132.1"/>
    <n v="132.5"/>
    <n v="128.5"/>
    <n v="123.8"/>
    <n v="127.8"/>
    <n v="122.4"/>
    <n v="120.8"/>
    <n v="123"/>
    <n v="120.4"/>
    <n v="111.4"/>
    <n v="118.7"/>
    <n v="125.9"/>
    <n v="113.9"/>
    <n v="117.9"/>
    <n v="126.1"/>
    <n v="128.90833333333333"/>
    <n v="132.5"/>
    <n v="126.15"/>
    <n v="120.8"/>
    <n v="123"/>
    <n v="111.4"/>
    <n v="118.7"/>
    <x v="0"/>
  </r>
  <r>
    <x v="0"/>
    <x v="2"/>
    <x v="10"/>
    <x v="34"/>
    <n v="126.1"/>
    <n v="130.6"/>
    <n v="121.7"/>
    <n v="129.5"/>
    <n v="117.8"/>
    <n v="132.1"/>
    <n v="155.19999999999999"/>
    <n v="160.80000000000001"/>
    <n v="94.5"/>
    <x v="93"/>
    <n v="123.1"/>
    <n v="134.19999999999999"/>
    <n v="132.4"/>
    <n v="132.19999999999999"/>
    <n v="132.1"/>
    <n v="128.19999999999999"/>
    <n v="131.5"/>
    <n v="122.9"/>
    <n v="125.6"/>
    <n v="125.6"/>
    <n v="122.6"/>
    <n v="114"/>
    <n v="120.9"/>
    <n v="125.8"/>
    <n v="114.2"/>
    <n v="119.6"/>
    <n v="128.30000000000001"/>
    <n v="129.49166666666665"/>
    <n v="132.19999999999999"/>
    <n v="130.14999999999998"/>
    <n v="125.6"/>
    <n v="125.6"/>
    <n v="114"/>
    <n v="120.9"/>
    <x v="0"/>
  </r>
  <r>
    <x v="1"/>
    <x v="2"/>
    <x v="10"/>
    <x v="34"/>
    <n v="124"/>
    <n v="129.80000000000001"/>
    <n v="121.5"/>
    <n v="128.6"/>
    <n v="110"/>
    <n v="123.7"/>
    <n v="164.6"/>
    <n v="191.6"/>
    <n v="90.8"/>
    <x v="94"/>
    <n v="119.8"/>
    <n v="133.69999999999999"/>
    <n v="133.30000000000001"/>
    <n v="137.6"/>
    <n v="125"/>
    <n v="119.3"/>
    <n v="124.2"/>
    <n v="122.9"/>
    <n v="115.1"/>
    <n v="121"/>
    <n v="118.1"/>
    <n v="109.3"/>
    <n v="117.9"/>
    <n v="126.6"/>
    <n v="113.3"/>
    <n v="116.6"/>
    <n v="124.6"/>
    <n v="131.26666666666665"/>
    <n v="137.6"/>
    <n v="122.15"/>
    <n v="115.1"/>
    <n v="121"/>
    <n v="109.3"/>
    <n v="117.9"/>
    <x v="0"/>
  </r>
  <r>
    <x v="2"/>
    <x v="2"/>
    <x v="10"/>
    <x v="34"/>
    <n v="125.4"/>
    <n v="130.30000000000001"/>
    <n v="121.6"/>
    <n v="129.19999999999999"/>
    <n v="114.9"/>
    <n v="128.19999999999999"/>
    <n v="158.4"/>
    <n v="171.2"/>
    <n v="93.3"/>
    <x v="95"/>
    <n v="121.7"/>
    <n v="134"/>
    <n v="132.69999999999999"/>
    <n v="133.6"/>
    <n v="129.30000000000001"/>
    <n v="124.5"/>
    <n v="128.6"/>
    <n v="122.9"/>
    <n v="121.6"/>
    <n v="123.4"/>
    <n v="120.9"/>
    <n v="111.5"/>
    <n v="119.2"/>
    <n v="126.3"/>
    <n v="113.8"/>
    <n v="118.1"/>
    <n v="126.6"/>
    <n v="129.94999999999999"/>
    <n v="133.6"/>
    <n v="126.9"/>
    <n v="121.6"/>
    <n v="123.4"/>
    <n v="111.5"/>
    <n v="119.2"/>
    <x v="0"/>
  </r>
  <r>
    <x v="0"/>
    <x v="2"/>
    <x v="11"/>
    <x v="35"/>
    <n v="126.3"/>
    <n v="131.30000000000001"/>
    <n v="123.3"/>
    <n v="129.80000000000001"/>
    <n v="118.3"/>
    <n v="131.6"/>
    <n v="145.5"/>
    <n v="162.1"/>
    <n v="95.4"/>
    <x v="96"/>
    <n v="123.3"/>
    <n v="135.1"/>
    <n v="131.4"/>
    <n v="133.1"/>
    <n v="132.5"/>
    <n v="128.5"/>
    <n v="131.9"/>
    <n v="122.4"/>
    <n v="125.7"/>
    <n v="126"/>
    <n v="123.1"/>
    <n v="114"/>
    <n v="121.6"/>
    <n v="125.6"/>
    <n v="114.1"/>
    <n v="119.8"/>
    <n v="127.9"/>
    <n v="129.24166666666667"/>
    <n v="133.1"/>
    <n v="130.5"/>
    <n v="125.7"/>
    <n v="126"/>
    <n v="114"/>
    <n v="121.6"/>
    <x v="0"/>
  </r>
  <r>
    <x v="1"/>
    <x v="2"/>
    <x v="11"/>
    <x v="35"/>
    <n v="124.3"/>
    <n v="131.69999999999999"/>
    <n v="127.1"/>
    <n v="128.6"/>
    <n v="110"/>
    <n v="120.8"/>
    <n v="149"/>
    <n v="190.1"/>
    <n v="92.7"/>
    <x v="97"/>
    <n v="120.2"/>
    <n v="134.19999999999999"/>
    <n v="131.5"/>
    <n v="138.19999999999999"/>
    <n v="125.4"/>
    <n v="119.5"/>
    <n v="124.5"/>
    <n v="122.4"/>
    <n v="116"/>
    <n v="121"/>
    <n v="118.6"/>
    <n v="109.3"/>
    <n v="118.1"/>
    <n v="126.6"/>
    <n v="113.2"/>
    <n v="116.7"/>
    <n v="124"/>
    <n v="130.60833333333332"/>
    <n v="138.19999999999999"/>
    <n v="122.45"/>
    <n v="116"/>
    <n v="121"/>
    <n v="109.3"/>
    <n v="118.1"/>
    <x v="0"/>
  </r>
  <r>
    <x v="2"/>
    <x v="2"/>
    <x v="11"/>
    <x v="35"/>
    <n v="125.7"/>
    <n v="131.4"/>
    <n v="124.8"/>
    <n v="129.4"/>
    <n v="115.3"/>
    <n v="126.6"/>
    <n v="146.69999999999999"/>
    <n v="171.5"/>
    <n v="94.5"/>
    <x v="98"/>
    <n v="122"/>
    <n v="134.69999999999999"/>
    <n v="131.4"/>
    <n v="134.5"/>
    <n v="129.69999999999999"/>
    <n v="124.8"/>
    <n v="129"/>
    <n v="122.4"/>
    <n v="122"/>
    <n v="123.6"/>
    <n v="121.4"/>
    <n v="111.5"/>
    <n v="119.6"/>
    <n v="126.2"/>
    <n v="113.7"/>
    <n v="118.3"/>
    <n v="126.1"/>
    <n v="129.55833333333334"/>
    <n v="134.5"/>
    <n v="127.25"/>
    <n v="122"/>
    <n v="123.6"/>
    <n v="111.5"/>
    <n v="119.6"/>
    <x v="0"/>
  </r>
  <r>
    <x v="0"/>
    <x v="3"/>
    <x v="0"/>
    <x v="36"/>
    <n v="126.8"/>
    <n v="133.19999999999999"/>
    <n v="126.5"/>
    <n v="130.30000000000001"/>
    <n v="118.9"/>
    <n v="131.6"/>
    <n v="140.1"/>
    <n v="163.80000000000001"/>
    <n v="97.7"/>
    <x v="99"/>
    <n v="124.3"/>
    <n v="135.9"/>
    <n v="131.4"/>
    <n v="133.6"/>
    <n v="133.19999999999999"/>
    <n v="128.9"/>
    <n v="132.6"/>
    <n v="123.4"/>
    <n v="126.2"/>
    <n v="126.6"/>
    <n v="123.7"/>
    <n v="113.6"/>
    <n v="121.4"/>
    <n v="126.2"/>
    <n v="114.9"/>
    <n v="120.1"/>
    <n v="128.1"/>
    <n v="129.89166666666668"/>
    <n v="133.6"/>
    <n v="131.05000000000001"/>
    <n v="126.2"/>
    <n v="126.6"/>
    <n v="113.6"/>
    <n v="121.4"/>
    <x v="0"/>
  </r>
  <r>
    <x v="1"/>
    <x v="3"/>
    <x v="0"/>
    <x v="36"/>
    <n v="124.7"/>
    <n v="135.9"/>
    <n v="132"/>
    <n v="129.19999999999999"/>
    <n v="109.7"/>
    <n v="119"/>
    <n v="144.1"/>
    <n v="184.2"/>
    <n v="96.7"/>
    <x v="100"/>
    <n v="120.5"/>
    <n v="134.69999999999999"/>
    <n v="131.19999999999999"/>
    <n v="139.5"/>
    <n v="125.8"/>
    <n v="119.8"/>
    <n v="124.9"/>
    <n v="123.4"/>
    <n v="116.9"/>
    <n v="121.6"/>
    <n v="119.1"/>
    <n v="108.9"/>
    <n v="118.5"/>
    <n v="126.4"/>
    <n v="114"/>
    <n v="116.8"/>
    <n v="124.2"/>
    <n v="130.85"/>
    <n v="139.5"/>
    <n v="122.8"/>
    <n v="116.9"/>
    <n v="121.6"/>
    <n v="108.9"/>
    <n v="118.5"/>
    <x v="0"/>
  </r>
  <r>
    <x v="2"/>
    <x v="3"/>
    <x v="0"/>
    <x v="36"/>
    <n v="126.1"/>
    <n v="134.1"/>
    <n v="128.6"/>
    <n v="129.9"/>
    <n v="115.5"/>
    <n v="125.7"/>
    <n v="141.5"/>
    <n v="170.7"/>
    <n v="97.4"/>
    <x v="101"/>
    <n v="122.7"/>
    <n v="135.30000000000001"/>
    <n v="131.30000000000001"/>
    <n v="135.19999999999999"/>
    <n v="130.30000000000001"/>
    <n v="125.1"/>
    <n v="129.5"/>
    <n v="123.4"/>
    <n v="122.7"/>
    <n v="124.2"/>
    <n v="122"/>
    <n v="111.1"/>
    <n v="119.8"/>
    <n v="126.3"/>
    <n v="114.5"/>
    <n v="118.5"/>
    <n v="126.3"/>
    <n v="130.03333333333333"/>
    <n v="135.19999999999999"/>
    <n v="127.7"/>
    <n v="122.7"/>
    <n v="124.2"/>
    <n v="111.1"/>
    <n v="119.8"/>
    <x v="0"/>
  </r>
  <r>
    <x v="0"/>
    <x v="3"/>
    <x v="1"/>
    <x v="37"/>
    <n v="127.1"/>
    <n v="133.69999999999999"/>
    <n v="127.7"/>
    <n v="130.69999999999999"/>
    <n v="118.5"/>
    <n v="130.4"/>
    <n v="130.9"/>
    <n v="162.80000000000001"/>
    <n v="98.7"/>
    <x v="102"/>
    <n v="124.8"/>
    <n v="136.4"/>
    <n v="130.30000000000001"/>
    <n v="134.4"/>
    <n v="133.9"/>
    <n v="129.80000000000001"/>
    <n v="133.4"/>
    <n v="124.4"/>
    <n v="127.5"/>
    <n v="127.1"/>
    <n v="124.3"/>
    <n v="113.9"/>
    <n v="122.3"/>
    <n v="127.1"/>
    <n v="116.8"/>
    <n v="120.9"/>
    <n v="127.9"/>
    <n v="129.35833333333332"/>
    <n v="134.4"/>
    <n v="131.85000000000002"/>
    <n v="127.5"/>
    <n v="127.1"/>
    <n v="113.9"/>
    <n v="122.3"/>
    <x v="0"/>
  </r>
  <r>
    <x v="1"/>
    <x v="3"/>
    <x v="1"/>
    <x v="37"/>
    <n v="124.8"/>
    <n v="135.1"/>
    <n v="130.30000000000001"/>
    <n v="129.6"/>
    <n v="108.4"/>
    <n v="118.6"/>
    <n v="129.19999999999999"/>
    <n v="176.4"/>
    <n v="99.1"/>
    <x v="103"/>
    <n v="120.6"/>
    <n v="135.19999999999999"/>
    <n v="129.1"/>
    <n v="140"/>
    <n v="126.2"/>
    <n v="120.1"/>
    <n v="125.3"/>
    <n v="124.4"/>
    <n v="116"/>
    <n v="121.8"/>
    <n v="119.5"/>
    <n v="109.1"/>
    <n v="118.8"/>
    <n v="126.3"/>
    <n v="116.2"/>
    <n v="117.2"/>
    <n v="123.8"/>
    <n v="128.91666666666666"/>
    <n v="140"/>
    <n v="123.15"/>
    <n v="116"/>
    <n v="121.8"/>
    <n v="109.1"/>
    <n v="118.8"/>
    <x v="0"/>
  </r>
  <r>
    <x v="2"/>
    <x v="3"/>
    <x v="1"/>
    <x v="37"/>
    <n v="126.4"/>
    <n v="134.19999999999999"/>
    <n v="128.69999999999999"/>
    <n v="130.30000000000001"/>
    <n v="114.8"/>
    <n v="124.9"/>
    <n v="130.30000000000001"/>
    <n v="167.4"/>
    <n v="98.8"/>
    <x v="104"/>
    <n v="123"/>
    <n v="135.80000000000001"/>
    <n v="129.9"/>
    <n v="135.9"/>
    <n v="130.9"/>
    <n v="125.8"/>
    <n v="130.19999999999999"/>
    <n v="124.4"/>
    <n v="123.1"/>
    <n v="124.6"/>
    <n v="122.5"/>
    <n v="111.4"/>
    <n v="120.3"/>
    <n v="126.6"/>
    <n v="116.6"/>
    <n v="119.1"/>
    <n v="126"/>
    <n v="129.01666666666665"/>
    <n v="135.9"/>
    <n v="128.35"/>
    <n v="123.1"/>
    <n v="124.6"/>
    <n v="111.4"/>
    <n v="120.3"/>
    <x v="0"/>
  </r>
  <r>
    <x v="0"/>
    <x v="3"/>
    <x v="2"/>
    <x v="38"/>
    <n v="127.3"/>
    <n v="134.4"/>
    <n v="125.1"/>
    <n v="130.5"/>
    <n v="118.3"/>
    <n v="131.69999999999999"/>
    <n v="130.69999999999999"/>
    <n v="161.19999999999999"/>
    <n v="100.4"/>
    <x v="105"/>
    <n v="124.9"/>
    <n v="137"/>
    <n v="130.4"/>
    <n v="135"/>
    <n v="134.4"/>
    <n v="130.19999999999999"/>
    <n v="133.80000000000001"/>
    <n v="124.9"/>
    <n v="127"/>
    <n v="127.7"/>
    <n v="124.8"/>
    <n v="113.6"/>
    <n v="122.5"/>
    <n v="127.5"/>
    <n v="117.4"/>
    <n v="121.1"/>
    <n v="128"/>
    <n v="129.35833333333335"/>
    <n v="135"/>
    <n v="132.30000000000001"/>
    <n v="127"/>
    <n v="127.7"/>
    <n v="113.6"/>
    <n v="122.5"/>
    <x v="0"/>
  </r>
  <r>
    <x v="1"/>
    <x v="3"/>
    <x v="2"/>
    <x v="38"/>
    <n v="124.8"/>
    <n v="136.30000000000001"/>
    <n v="123.7"/>
    <n v="129.69999999999999"/>
    <n v="107.9"/>
    <n v="119.9"/>
    <n v="128.1"/>
    <n v="170.3"/>
    <n v="101.8"/>
    <x v="106"/>
    <n v="120.7"/>
    <n v="135.4"/>
    <n v="128.9"/>
    <n v="140.6"/>
    <n v="126.4"/>
    <n v="120.3"/>
    <n v="125.5"/>
    <n v="124.9"/>
    <n v="114.8"/>
    <n v="122.3"/>
    <n v="119.7"/>
    <n v="108.5"/>
    <n v="119.1"/>
    <n v="126.4"/>
    <n v="117.1"/>
    <n v="117.3"/>
    <n v="123.8"/>
    <n v="128.22499999999999"/>
    <n v="140.6"/>
    <n v="123.35"/>
    <n v="114.8"/>
    <n v="122.3"/>
    <n v="108.5"/>
    <n v="119.1"/>
    <x v="0"/>
  </r>
  <r>
    <x v="2"/>
    <x v="3"/>
    <x v="2"/>
    <x v="38"/>
    <n v="126.5"/>
    <n v="135.1"/>
    <n v="124.6"/>
    <n v="130.19999999999999"/>
    <n v="114.5"/>
    <n v="126.2"/>
    <n v="129.80000000000001"/>
    <n v="164.3"/>
    <n v="100.9"/>
    <x v="107"/>
    <n v="123.1"/>
    <n v="136.30000000000001"/>
    <n v="129.80000000000001"/>
    <n v="136.5"/>
    <n v="131.30000000000001"/>
    <n v="126.1"/>
    <n v="130.5"/>
    <n v="124.9"/>
    <n v="122.4"/>
    <n v="125.1"/>
    <n v="122.9"/>
    <n v="110.9"/>
    <n v="120.6"/>
    <n v="126.9"/>
    <n v="117.3"/>
    <n v="119.3"/>
    <n v="126"/>
    <n v="128.78333333333333"/>
    <n v="136.5"/>
    <n v="128.69999999999999"/>
    <n v="122.4"/>
    <n v="125.1"/>
    <n v="110.9"/>
    <n v="120.6"/>
    <x v="0"/>
  </r>
  <r>
    <x v="0"/>
    <x v="3"/>
    <x v="3"/>
    <x v="39"/>
    <n v="127.4"/>
    <n v="135.4"/>
    <n v="123.4"/>
    <n v="131.30000000000001"/>
    <n v="118.2"/>
    <n v="138.1"/>
    <n v="134.1"/>
    <n v="162.69999999999999"/>
    <n v="105"/>
    <x v="108"/>
    <n v="125.4"/>
    <n v="137.4"/>
    <n v="131.80000000000001"/>
    <n v="135.5"/>
    <n v="135"/>
    <n v="130.6"/>
    <n v="134.4"/>
    <n v="125.6"/>
    <n v="127"/>
    <n v="128"/>
    <n v="125.2"/>
    <n v="114.4"/>
    <n v="123.2"/>
    <n v="127.9"/>
    <n v="118.4"/>
    <n v="121.7"/>
    <n v="129"/>
    <n v="130.81666666666669"/>
    <n v="135.5"/>
    <n v="132.80000000000001"/>
    <n v="127"/>
    <n v="128"/>
    <n v="114.4"/>
    <n v="123.2"/>
    <x v="0"/>
  </r>
  <r>
    <x v="1"/>
    <x v="3"/>
    <x v="3"/>
    <x v="39"/>
    <n v="124.9"/>
    <n v="139.30000000000001"/>
    <n v="119.9"/>
    <n v="130.19999999999999"/>
    <n v="108.9"/>
    <n v="131.1"/>
    <n v="136.80000000000001"/>
    <n v="176.9"/>
    <n v="109.1"/>
    <x v="109"/>
    <n v="121.1"/>
    <n v="135.9"/>
    <n v="131.80000000000001"/>
    <n v="141.5"/>
    <n v="126.8"/>
    <n v="120.5"/>
    <n v="125.8"/>
    <n v="125.6"/>
    <n v="114.6"/>
    <n v="122.8"/>
    <n v="120"/>
    <n v="110"/>
    <n v="119.5"/>
    <n v="127.6"/>
    <n v="117.6"/>
    <n v="118.2"/>
    <n v="125.3"/>
    <n v="131.20833333333334"/>
    <n v="141.5"/>
    <n v="123.65"/>
    <n v="114.6"/>
    <n v="122.8"/>
    <n v="110"/>
    <n v="119.5"/>
    <x v="0"/>
  </r>
  <r>
    <x v="2"/>
    <x v="3"/>
    <x v="3"/>
    <x v="39"/>
    <n v="126.6"/>
    <n v="136.80000000000001"/>
    <n v="122"/>
    <n v="130.9"/>
    <n v="114.8"/>
    <n v="134.80000000000001"/>
    <n v="135"/>
    <n v="167.5"/>
    <n v="106.4"/>
    <x v="89"/>
    <n v="123.6"/>
    <n v="136.69999999999999"/>
    <n v="131.80000000000001"/>
    <n v="137.1"/>
    <n v="131.80000000000001"/>
    <n v="126.4"/>
    <n v="131"/>
    <n v="125.6"/>
    <n v="122.3"/>
    <n v="125.5"/>
    <n v="123.2"/>
    <n v="112.1"/>
    <n v="121.1"/>
    <n v="127.7"/>
    <n v="118.1"/>
    <n v="120"/>
    <n v="127.3"/>
    <n v="130.79166666666666"/>
    <n v="137.1"/>
    <n v="129.10000000000002"/>
    <n v="122.3"/>
    <n v="125.5"/>
    <n v="112.1"/>
    <n v="121.1"/>
    <x v="0"/>
  </r>
  <r>
    <x v="0"/>
    <x v="3"/>
    <x v="4"/>
    <x v="40"/>
    <n v="127.6"/>
    <n v="137.5"/>
    <n v="124.4"/>
    <n v="132.4"/>
    <n v="118.2"/>
    <n v="138.1"/>
    <n v="141.80000000000001"/>
    <n v="166"/>
    <n v="107.5"/>
    <x v="110"/>
    <n v="126.1"/>
    <n v="138.30000000000001"/>
    <n v="133.6"/>
    <n v="136"/>
    <n v="135.4"/>
    <n v="131.1"/>
    <n v="134.80000000000001"/>
    <n v="126"/>
    <n v="127.4"/>
    <n v="128.5"/>
    <n v="125.8"/>
    <n v="115.1"/>
    <n v="123.6"/>
    <n v="129.1"/>
    <n v="119.7"/>
    <n v="122.5"/>
    <n v="130.30000000000001"/>
    <n v="132.50833333333333"/>
    <n v="136"/>
    <n v="133.25"/>
    <n v="127.4"/>
    <n v="128.5"/>
    <n v="115.1"/>
    <n v="123.6"/>
    <x v="0"/>
  </r>
  <r>
    <x v="1"/>
    <x v="3"/>
    <x v="4"/>
    <x v="40"/>
    <n v="125"/>
    <n v="142.1"/>
    <n v="127"/>
    <n v="130.4"/>
    <n v="109.6"/>
    <n v="133.5"/>
    <n v="151.4"/>
    <n v="182.8"/>
    <n v="111.1"/>
    <x v="111"/>
    <n v="121.5"/>
    <n v="136.30000000000001"/>
    <n v="134.6"/>
    <n v="142.19999999999999"/>
    <n v="127.2"/>
    <n v="120.7"/>
    <n v="126.2"/>
    <n v="126"/>
    <n v="115"/>
    <n v="123.2"/>
    <n v="120.3"/>
    <n v="110.7"/>
    <n v="119.8"/>
    <n v="128"/>
    <n v="118.5"/>
    <n v="118.7"/>
    <n v="126.6"/>
    <n v="134.35"/>
    <n v="142.19999999999999"/>
    <n v="123.95"/>
    <n v="115"/>
    <n v="123.2"/>
    <n v="110.7"/>
    <n v="119.8"/>
    <x v="0"/>
  </r>
  <r>
    <x v="2"/>
    <x v="3"/>
    <x v="4"/>
    <x v="40"/>
    <n v="126.8"/>
    <n v="139.1"/>
    <n v="125.4"/>
    <n v="131.69999999999999"/>
    <n v="115"/>
    <n v="136"/>
    <n v="145.1"/>
    <n v="171.7"/>
    <n v="108.7"/>
    <x v="112"/>
    <n v="124.2"/>
    <n v="137.4"/>
    <n v="134"/>
    <n v="137.69999999999999"/>
    <n v="132.19999999999999"/>
    <n v="126.8"/>
    <n v="131.4"/>
    <n v="126"/>
    <n v="122.7"/>
    <n v="126"/>
    <n v="123.7"/>
    <n v="112.8"/>
    <n v="121.5"/>
    <n v="128.5"/>
    <n v="119.2"/>
    <n v="120.7"/>
    <n v="128.6"/>
    <n v="133.03333333333333"/>
    <n v="137.69999999999999"/>
    <n v="129.5"/>
    <n v="122.7"/>
    <n v="126"/>
    <n v="112.8"/>
    <n v="121.5"/>
    <x v="0"/>
  </r>
  <r>
    <x v="0"/>
    <x v="3"/>
    <x v="5"/>
    <x v="41"/>
    <n v="128.6"/>
    <n v="138.6"/>
    <n v="126.6"/>
    <n v="133.6"/>
    <n v="118.6"/>
    <n v="137.4"/>
    <n v="152.5"/>
    <n v="169.2"/>
    <n v="108.8"/>
    <x v="113"/>
    <n v="126.4"/>
    <n v="139.19999999999999"/>
    <n v="136"/>
    <n v="137.19999999999999"/>
    <n v="136.30000000000001"/>
    <n v="131.6"/>
    <n v="135.6"/>
    <n v="125.5"/>
    <n v="128"/>
    <n v="129.30000000000001"/>
    <n v="126.2"/>
    <n v="116.3"/>
    <n v="124.1"/>
    <n v="130.19999999999999"/>
    <n v="119.9"/>
    <n v="123.3"/>
    <n v="131.9"/>
    <n v="134.38333333333333"/>
    <n v="137.19999999999999"/>
    <n v="133.94999999999999"/>
    <n v="128"/>
    <n v="129.30000000000001"/>
    <n v="116.3"/>
    <n v="124.1"/>
    <x v="0"/>
  </r>
  <r>
    <x v="1"/>
    <x v="3"/>
    <x v="5"/>
    <x v="41"/>
    <n v="125.9"/>
    <n v="143.9"/>
    <n v="130.9"/>
    <n v="131"/>
    <n v="110.2"/>
    <n v="135.5"/>
    <n v="173.7"/>
    <n v="184.4"/>
    <n v="112"/>
    <x v="114"/>
    <n v="121.6"/>
    <n v="136.9"/>
    <n v="138.19999999999999"/>
    <n v="142.69999999999999"/>
    <n v="127.6"/>
    <n v="121.1"/>
    <n v="126.6"/>
    <n v="125.5"/>
    <n v="115.5"/>
    <n v="123.2"/>
    <n v="120.6"/>
    <n v="112.3"/>
    <n v="119.9"/>
    <n v="129.30000000000001"/>
    <n v="118.8"/>
    <n v="119.6"/>
    <n v="128.1"/>
    <n v="137.4"/>
    <n v="142.69999999999999"/>
    <n v="124.35"/>
    <n v="115.5"/>
    <n v="123.2"/>
    <n v="112.3"/>
    <n v="119.9"/>
    <x v="0"/>
  </r>
  <r>
    <x v="2"/>
    <x v="3"/>
    <x v="5"/>
    <x v="41"/>
    <n v="127.7"/>
    <n v="140.5"/>
    <n v="128.30000000000001"/>
    <n v="132.6"/>
    <n v="115.5"/>
    <n v="136.5"/>
    <n v="159.69999999999999"/>
    <n v="174.3"/>
    <n v="109.9"/>
    <x v="115"/>
    <n v="124.4"/>
    <n v="138.1"/>
    <n v="136.80000000000001"/>
    <n v="138.69999999999999"/>
    <n v="132.9"/>
    <n v="127.2"/>
    <n v="132"/>
    <n v="125.5"/>
    <n v="123.3"/>
    <n v="126.4"/>
    <n v="124.1"/>
    <n v="114.2"/>
    <n v="121.7"/>
    <n v="129.69999999999999"/>
    <n v="119.4"/>
    <n v="121.5"/>
    <n v="130.1"/>
    <n v="135.31666666666666"/>
    <n v="138.69999999999999"/>
    <n v="130.05000000000001"/>
    <n v="123.3"/>
    <n v="126.4"/>
    <n v="114.2"/>
    <n v="121.7"/>
    <x v="0"/>
  </r>
  <r>
    <x v="0"/>
    <x v="3"/>
    <x v="6"/>
    <x v="42"/>
    <n v="129.30000000000001"/>
    <n v="139.5"/>
    <n v="129.6"/>
    <n v="134.5"/>
    <n v="119.5"/>
    <n v="138.5"/>
    <n v="158.19999999999999"/>
    <n v="171.8"/>
    <n v="110.3"/>
    <x v="116"/>
    <n v="127.3"/>
    <n v="139.9"/>
    <n v="137.6"/>
    <n v="138"/>
    <n v="137.19999999999999"/>
    <n v="132.19999999999999"/>
    <n v="136.5"/>
    <n v="126.4"/>
    <n v="128.19999999999999"/>
    <n v="130"/>
    <n v="126.7"/>
    <n v="116.4"/>
    <n v="125.2"/>
    <n v="130.80000000000001"/>
    <n v="120.9"/>
    <n v="123.8"/>
    <n v="133"/>
    <n v="136.05833333333331"/>
    <n v="138"/>
    <n v="134.69999999999999"/>
    <n v="128.19999999999999"/>
    <n v="130"/>
    <n v="116.4"/>
    <n v="125.2"/>
    <x v="0"/>
  </r>
  <r>
    <x v="1"/>
    <x v="3"/>
    <x v="6"/>
    <x v="42"/>
    <n v="126.8"/>
    <n v="144.19999999999999"/>
    <n v="136.6"/>
    <n v="131.80000000000001"/>
    <n v="111"/>
    <n v="137"/>
    <n v="179.5"/>
    <n v="188.4"/>
    <n v="113.3"/>
    <x v="117"/>
    <n v="121.7"/>
    <n v="137.5"/>
    <n v="139.80000000000001"/>
    <n v="142.9"/>
    <n v="127.9"/>
    <n v="121.1"/>
    <n v="126.9"/>
    <n v="126.4"/>
    <n v="115.5"/>
    <n v="123.5"/>
    <n v="120.9"/>
    <n v="111.7"/>
    <n v="120.3"/>
    <n v="130.80000000000001"/>
    <n v="120"/>
    <n v="119.9"/>
    <n v="129"/>
    <n v="139.30833333333337"/>
    <n v="142.9"/>
    <n v="124.5"/>
    <n v="115.5"/>
    <n v="123.5"/>
    <n v="111.7"/>
    <n v="120.3"/>
    <x v="0"/>
  </r>
  <r>
    <x v="2"/>
    <x v="3"/>
    <x v="6"/>
    <x v="42"/>
    <n v="128.5"/>
    <n v="141.19999999999999"/>
    <n v="132.30000000000001"/>
    <n v="133.5"/>
    <n v="116.4"/>
    <n v="137.80000000000001"/>
    <n v="165.4"/>
    <n v="177.4"/>
    <n v="111.3"/>
    <x v="118"/>
    <n v="125"/>
    <n v="138.80000000000001"/>
    <n v="138.4"/>
    <n v="139.30000000000001"/>
    <n v="133.5"/>
    <n v="127.6"/>
    <n v="132.69999999999999"/>
    <n v="126.4"/>
    <n v="123.4"/>
    <n v="126.9"/>
    <n v="124.5"/>
    <n v="113.9"/>
    <n v="122.4"/>
    <n v="130.80000000000001"/>
    <n v="120.5"/>
    <n v="121.9"/>
    <n v="131.1"/>
    <n v="137.09166666666667"/>
    <n v="139.30000000000001"/>
    <n v="130.55000000000001"/>
    <n v="123.4"/>
    <n v="126.9"/>
    <n v="113.9"/>
    <n v="122.4"/>
    <x v="0"/>
  </r>
  <r>
    <x v="0"/>
    <x v="3"/>
    <x v="7"/>
    <x v="43"/>
    <n v="130.1"/>
    <n v="138.80000000000001"/>
    <n v="130.30000000000001"/>
    <n v="135.30000000000001"/>
    <n v="119.9"/>
    <n v="140.19999999999999"/>
    <n v="156.9"/>
    <n v="172.2"/>
    <n v="112.1"/>
    <x v="119"/>
    <n v="128.1"/>
    <n v="140.69999999999999"/>
    <n v="138"/>
    <n v="138.9"/>
    <n v="137.80000000000001"/>
    <n v="133"/>
    <n v="137.1"/>
    <n v="127.3"/>
    <n v="129.1"/>
    <n v="130.6"/>
    <n v="127"/>
    <n v="116"/>
    <n v="125.5"/>
    <n v="131.9"/>
    <n v="122"/>
    <n v="124.2"/>
    <n v="133.5"/>
    <n v="136.62499999999997"/>
    <n v="138.9"/>
    <n v="135.4"/>
    <n v="129.1"/>
    <n v="130.6"/>
    <n v="116"/>
    <n v="125.5"/>
    <x v="0"/>
  </r>
  <r>
    <x v="1"/>
    <x v="3"/>
    <x v="7"/>
    <x v="43"/>
    <n v="127.6"/>
    <n v="140.30000000000001"/>
    <n v="133.69999999999999"/>
    <n v="132.19999999999999"/>
    <n v="111.8"/>
    <n v="135.80000000000001"/>
    <n v="163.5"/>
    <n v="182.3"/>
    <n v="114.6"/>
    <x v="120"/>
    <n v="121.9"/>
    <n v="138.1"/>
    <n v="137.6"/>
    <n v="143.6"/>
    <n v="128.30000000000001"/>
    <n v="121.4"/>
    <n v="127.3"/>
    <n v="127.3"/>
    <n v="114.7"/>
    <n v="123.9"/>
    <n v="121.2"/>
    <n v="110.4"/>
    <n v="120.6"/>
    <n v="131.5"/>
    <n v="120.9"/>
    <n v="119.9"/>
    <n v="128.4"/>
    <n v="137.19999999999996"/>
    <n v="143.6"/>
    <n v="124.85000000000001"/>
    <n v="114.7"/>
    <n v="123.9"/>
    <n v="110.4"/>
    <n v="120.6"/>
    <x v="0"/>
  </r>
  <r>
    <x v="2"/>
    <x v="3"/>
    <x v="7"/>
    <x v="43"/>
    <n v="129.30000000000001"/>
    <n v="139.30000000000001"/>
    <n v="131.6"/>
    <n v="134.1"/>
    <n v="116.9"/>
    <n v="138.1"/>
    <n v="159.1"/>
    <n v="175.6"/>
    <n v="112.9"/>
    <x v="121"/>
    <n v="125.5"/>
    <n v="139.5"/>
    <n v="137.9"/>
    <n v="140.19999999999999"/>
    <n v="134.1"/>
    <n v="128.19999999999999"/>
    <n v="133.19999999999999"/>
    <n v="127.3"/>
    <n v="123.6"/>
    <n v="127.4"/>
    <n v="124.8"/>
    <n v="113.1"/>
    <n v="122.7"/>
    <n v="131.69999999999999"/>
    <n v="121.5"/>
    <n v="122.1"/>
    <n v="131.1"/>
    <n v="136.66666666666666"/>
    <n v="140.19999999999999"/>
    <n v="131.14999999999998"/>
    <n v="123.6"/>
    <n v="127.4"/>
    <n v="113.1"/>
    <n v="122.7"/>
    <x v="0"/>
  </r>
  <r>
    <x v="0"/>
    <x v="3"/>
    <x v="8"/>
    <x v="44"/>
    <n v="130.80000000000001"/>
    <n v="138.19999999999999"/>
    <n v="130.5"/>
    <n v="135.5"/>
    <n v="120.2"/>
    <n v="139.19999999999999"/>
    <n v="149.5"/>
    <n v="170.4"/>
    <n v="113.1"/>
    <x v="91"/>
    <n v="128.80000000000001"/>
    <n v="141.5"/>
    <n v="137.19999999999999"/>
    <n v="139.9"/>
    <n v="138.5"/>
    <n v="133.5"/>
    <n v="137.80000000000001"/>
    <n v="127.9"/>
    <n v="129.69999999999999"/>
    <n v="131.1"/>
    <n v="127.8"/>
    <n v="117"/>
    <n v="125.7"/>
    <n v="132.19999999999999"/>
    <n v="122.8"/>
    <n v="124.9"/>
    <n v="133.4"/>
    <n v="136.125"/>
    <n v="139.9"/>
    <n v="136"/>
    <n v="129.69999999999999"/>
    <n v="131.1"/>
    <n v="117"/>
    <n v="125.7"/>
    <x v="0"/>
  </r>
  <r>
    <x v="1"/>
    <x v="3"/>
    <x v="8"/>
    <x v="44"/>
    <n v="128.1"/>
    <n v="137.69999999999999"/>
    <n v="130.6"/>
    <n v="132.6"/>
    <n v="111.9"/>
    <n v="132.5"/>
    <n v="152.9"/>
    <n v="173.6"/>
    <n v="115.1"/>
    <x v="122"/>
    <n v="122.1"/>
    <n v="138.80000000000001"/>
    <n v="135.69999999999999"/>
    <n v="143.9"/>
    <n v="128.69999999999999"/>
    <n v="121.6"/>
    <n v="127.7"/>
    <n v="127.9"/>
    <n v="114.8"/>
    <n v="124.3"/>
    <n v="121.4"/>
    <n v="111.8"/>
    <n v="120.8"/>
    <n v="131.6"/>
    <n v="121.2"/>
    <n v="120.5"/>
    <n v="128"/>
    <n v="135.05833333333331"/>
    <n v="143.9"/>
    <n v="125.14999999999999"/>
    <n v="114.8"/>
    <n v="124.3"/>
    <n v="111.8"/>
    <n v="120.8"/>
    <x v="0"/>
  </r>
  <r>
    <x v="2"/>
    <x v="3"/>
    <x v="8"/>
    <x v="44"/>
    <n v="129.9"/>
    <n v="138"/>
    <n v="130.5"/>
    <n v="134.4"/>
    <n v="117.2"/>
    <n v="136.1"/>
    <n v="150.69999999999999"/>
    <n v="171.5"/>
    <n v="113.8"/>
    <x v="123"/>
    <n v="126"/>
    <n v="140.19999999999999"/>
    <n v="136.6"/>
    <n v="141"/>
    <n v="134.6"/>
    <n v="128.6"/>
    <n v="133.80000000000001"/>
    <n v="127.9"/>
    <n v="124.1"/>
    <n v="127.9"/>
    <n v="125.4"/>
    <n v="114.3"/>
    <n v="122.9"/>
    <n v="131.80000000000001"/>
    <n v="122.1"/>
    <n v="122.8"/>
    <n v="130.9"/>
    <n v="135.59166666666667"/>
    <n v="141"/>
    <n v="131.6"/>
    <n v="124.1"/>
    <n v="127.9"/>
    <n v="114.3"/>
    <n v="122.9"/>
    <x v="0"/>
  </r>
  <r>
    <x v="0"/>
    <x v="3"/>
    <x v="9"/>
    <x v="45"/>
    <n v="131.30000000000001"/>
    <n v="137.6"/>
    <n v="130.1"/>
    <n v="136"/>
    <n v="120.8"/>
    <n v="138.4"/>
    <n v="149.19999999999999"/>
    <n v="170.2"/>
    <n v="113.4"/>
    <x v="115"/>
    <n v="128.69999999999999"/>
    <n v="142.4"/>
    <n v="137.4"/>
    <n v="140.9"/>
    <n v="139.6"/>
    <n v="134.30000000000001"/>
    <n v="138.80000000000001"/>
    <n v="128.69999999999999"/>
    <n v="129.80000000000001"/>
    <n v="131.80000000000001"/>
    <n v="128.69999999999999"/>
    <n v="117.8"/>
    <n v="126.5"/>
    <n v="133"/>
    <n v="123"/>
    <n v="125.7"/>
    <n v="133.80000000000001"/>
    <n v="136.20000000000002"/>
    <n v="140.9"/>
    <n v="136.94999999999999"/>
    <n v="129.80000000000001"/>
    <n v="131.80000000000001"/>
    <n v="117.8"/>
    <n v="126.5"/>
    <x v="0"/>
  </r>
  <r>
    <x v="1"/>
    <x v="3"/>
    <x v="9"/>
    <x v="45"/>
    <n v="128.69999999999999"/>
    <n v="138.4"/>
    <n v="130.30000000000001"/>
    <n v="132.69999999999999"/>
    <n v="112.5"/>
    <n v="130.4"/>
    <n v="155.1"/>
    <n v="175.7"/>
    <n v="115.4"/>
    <x v="124"/>
    <n v="122.5"/>
    <n v="139.6"/>
    <n v="136.30000000000001"/>
    <n v="144.30000000000001"/>
    <n v="129.1"/>
    <n v="121.9"/>
    <n v="128"/>
    <n v="128.69999999999999"/>
    <n v="115.2"/>
    <n v="124.5"/>
    <n v="121.8"/>
    <n v="112.8"/>
    <n v="121.2"/>
    <n v="131.9"/>
    <n v="120.8"/>
    <n v="120.9"/>
    <n v="128.6"/>
    <n v="135.54999999999998"/>
    <n v="144.30000000000001"/>
    <n v="125.5"/>
    <n v="115.2"/>
    <n v="124.5"/>
    <n v="112.8"/>
    <n v="121.2"/>
    <x v="0"/>
  </r>
  <r>
    <x v="2"/>
    <x v="3"/>
    <x v="9"/>
    <x v="45"/>
    <n v="130.5"/>
    <n v="137.9"/>
    <n v="130.19999999999999"/>
    <n v="134.80000000000001"/>
    <n v="117.8"/>
    <n v="134.69999999999999"/>
    <n v="151.19999999999999"/>
    <n v="172.1"/>
    <n v="114.1"/>
    <x v="125"/>
    <n v="126.1"/>
    <n v="141.1"/>
    <n v="137"/>
    <n v="141.80000000000001"/>
    <n v="135.5"/>
    <n v="129.1"/>
    <n v="134.5"/>
    <n v="128.69999999999999"/>
    <n v="124.3"/>
    <n v="128.4"/>
    <n v="126.1"/>
    <n v="115.2"/>
    <n v="123.5"/>
    <n v="132.4"/>
    <n v="122.1"/>
    <n v="123.4"/>
    <n v="131.4"/>
    <n v="135.81666666666663"/>
    <n v="141.80000000000001"/>
    <n v="132.30000000000001"/>
    <n v="124.3"/>
    <n v="128.4"/>
    <n v="115.2"/>
    <n v="123.5"/>
    <x v="0"/>
  </r>
  <r>
    <x v="0"/>
    <x v="3"/>
    <x v="10"/>
    <x v="46"/>
    <n v="132"/>
    <n v="137.4"/>
    <n v="130.6"/>
    <n v="136.19999999999999"/>
    <n v="121.1"/>
    <n v="136.9"/>
    <n v="141.80000000000001"/>
    <n v="170"/>
    <n v="113.4"/>
    <x v="126"/>
    <n v="128.69999999999999"/>
    <n v="143.1"/>
    <n v="136.6"/>
    <n v="141.19999999999999"/>
    <n v="139.9"/>
    <n v="134.5"/>
    <n v="139.19999999999999"/>
    <n v="129.1"/>
    <n v="130.30000000000001"/>
    <n v="132.1"/>
    <n v="129.1"/>
    <n v="118.2"/>
    <n v="126.9"/>
    <n v="133.69999999999999"/>
    <n v="123.5"/>
    <n v="126.1"/>
    <n v="133.6"/>
    <n v="135.66666666666666"/>
    <n v="141.19999999999999"/>
    <n v="137.19999999999999"/>
    <n v="130.30000000000001"/>
    <n v="132.1"/>
    <n v="118.2"/>
    <n v="126.9"/>
    <x v="0"/>
  </r>
  <r>
    <x v="1"/>
    <x v="3"/>
    <x v="10"/>
    <x v="46"/>
    <n v="130.19999999999999"/>
    <n v="138.5"/>
    <n v="134.1"/>
    <n v="132.9"/>
    <n v="112.6"/>
    <n v="130.80000000000001"/>
    <n v="142"/>
    <n v="174.9"/>
    <n v="115.6"/>
    <x v="127"/>
    <n v="122.7"/>
    <n v="140.30000000000001"/>
    <n v="135.19999999999999"/>
    <n v="144.30000000000001"/>
    <n v="129.6"/>
    <n v="122.1"/>
    <n v="128.5"/>
    <n v="129.1"/>
    <n v="116.2"/>
    <n v="124.7"/>
    <n v="122.1"/>
    <n v="113.4"/>
    <n v="121.7"/>
    <n v="132.1"/>
    <n v="121.3"/>
    <n v="121.3"/>
    <n v="128.5"/>
    <n v="135"/>
    <n v="144.30000000000001"/>
    <n v="125.85"/>
    <n v="116.2"/>
    <n v="124.7"/>
    <n v="113.4"/>
    <n v="121.7"/>
    <x v="0"/>
  </r>
  <r>
    <x v="2"/>
    <x v="3"/>
    <x v="10"/>
    <x v="46"/>
    <n v="131.4"/>
    <n v="137.80000000000001"/>
    <n v="132"/>
    <n v="135"/>
    <n v="118"/>
    <n v="134.1"/>
    <n v="141.9"/>
    <n v="171.7"/>
    <n v="114.1"/>
    <x v="103"/>
    <n v="126.2"/>
    <n v="141.80000000000001"/>
    <n v="136.1"/>
    <n v="142"/>
    <n v="135.80000000000001"/>
    <n v="129.30000000000001"/>
    <n v="135"/>
    <n v="129.1"/>
    <n v="125"/>
    <n v="128.6"/>
    <n v="126.4"/>
    <n v="115.7"/>
    <n v="124"/>
    <n v="132.80000000000001"/>
    <n v="122.6"/>
    <n v="123.8"/>
    <n v="131.19999999999999"/>
    <n v="135.30833333333334"/>
    <n v="142"/>
    <n v="132.55000000000001"/>
    <n v="125"/>
    <n v="128.6"/>
    <n v="115.7"/>
    <n v="124"/>
    <x v="0"/>
  </r>
  <r>
    <x v="0"/>
    <x v="3"/>
    <x v="11"/>
    <x v="47"/>
    <n v="132.6"/>
    <n v="137.30000000000001"/>
    <n v="131.6"/>
    <n v="136.30000000000001"/>
    <n v="121.6"/>
    <n v="135.6"/>
    <n v="127.5"/>
    <n v="167.9"/>
    <n v="113.8"/>
    <x v="118"/>
    <n v="129.1"/>
    <n v="143.6"/>
    <n v="134.69999999999999"/>
    <n v="142.4"/>
    <n v="140.4"/>
    <n v="135.19999999999999"/>
    <n v="139.69999999999999"/>
    <n v="128.5"/>
    <n v="132"/>
    <n v="132.9"/>
    <n v="129.69999999999999"/>
    <n v="118.6"/>
    <n v="127.3"/>
    <n v="134.19999999999999"/>
    <n v="121.9"/>
    <n v="126.3"/>
    <n v="132.80000000000001"/>
    <n v="134.53333333333333"/>
    <n v="142.4"/>
    <n v="137.80000000000001"/>
    <n v="132"/>
    <n v="132.9"/>
    <n v="118.6"/>
    <n v="127.3"/>
    <x v="0"/>
  </r>
  <r>
    <x v="1"/>
    <x v="3"/>
    <x v="11"/>
    <x v="47"/>
    <n v="131.6"/>
    <n v="138.19999999999999"/>
    <n v="134.9"/>
    <n v="133.1"/>
    <n v="113.5"/>
    <n v="129.30000000000001"/>
    <n v="121.1"/>
    <n v="170.3"/>
    <n v="115.5"/>
    <x v="128"/>
    <n v="123.1"/>
    <n v="140.9"/>
    <n v="132.80000000000001"/>
    <n v="145"/>
    <n v="130"/>
    <n v="122.2"/>
    <n v="128.80000000000001"/>
    <n v="128.5"/>
    <n v="117.8"/>
    <n v="125"/>
    <n v="122.3"/>
    <n v="113.7"/>
    <n v="121.8"/>
    <n v="132.30000000000001"/>
    <n v="119.9"/>
    <n v="121.4"/>
    <n v="127.6"/>
    <n v="133.08333333333334"/>
    <n v="145"/>
    <n v="126.1"/>
    <n v="117.8"/>
    <n v="125"/>
    <n v="113.7"/>
    <n v="121.8"/>
    <x v="0"/>
  </r>
  <r>
    <x v="2"/>
    <x v="3"/>
    <x v="11"/>
    <x v="47"/>
    <n v="132.30000000000001"/>
    <n v="137.6"/>
    <n v="132.9"/>
    <n v="135.1"/>
    <n v="118.6"/>
    <n v="132.69999999999999"/>
    <n v="125.3"/>
    <n v="168.7"/>
    <n v="114.4"/>
    <x v="129"/>
    <n v="126.6"/>
    <n v="142.30000000000001"/>
    <n v="134"/>
    <n v="143.1"/>
    <n v="136.30000000000001"/>
    <n v="129.80000000000001"/>
    <n v="135.4"/>
    <n v="128.5"/>
    <n v="126.6"/>
    <n v="129.19999999999999"/>
    <n v="126.9"/>
    <n v="116"/>
    <n v="124.2"/>
    <n v="133.1"/>
    <n v="121.1"/>
    <n v="123.9"/>
    <n v="130.4"/>
    <n v="133.89166666666668"/>
    <n v="143.1"/>
    <n v="133.05000000000001"/>
    <n v="126.6"/>
    <n v="129.19999999999999"/>
    <n v="116"/>
    <n v="124.2"/>
    <x v="0"/>
  </r>
  <r>
    <x v="0"/>
    <x v="4"/>
    <x v="0"/>
    <x v="48"/>
    <n v="133.1"/>
    <n v="137.80000000000001"/>
    <n v="131.9"/>
    <n v="136.69999999999999"/>
    <n v="122"/>
    <n v="136"/>
    <n v="119.8"/>
    <n v="161.69999999999999"/>
    <n v="114.8"/>
    <x v="130"/>
    <n v="129"/>
    <n v="143.9"/>
    <n v="133.69999999999999"/>
    <n v="143.1"/>
    <n v="140.69999999999999"/>
    <n v="135.80000000000001"/>
    <n v="140"/>
    <n v="129.6"/>
    <n v="132.1"/>
    <n v="133.19999999999999"/>
    <n v="129.9"/>
    <n v="119.1"/>
    <n v="127"/>
    <n v="134.6"/>
    <n v="122.3"/>
    <n v="126.6"/>
    <n v="132.4"/>
    <n v="133.63333333333335"/>
    <n v="143.1"/>
    <n v="138.25"/>
    <n v="132.1"/>
    <n v="133.19999999999999"/>
    <n v="119.1"/>
    <n v="127"/>
    <x v="0"/>
  </r>
  <r>
    <x v="1"/>
    <x v="4"/>
    <x v="0"/>
    <x v="48"/>
    <n v="132.19999999999999"/>
    <n v="138.9"/>
    <n v="132.6"/>
    <n v="133.1"/>
    <n v="114"/>
    <n v="129.6"/>
    <n v="118.7"/>
    <n v="155.1"/>
    <n v="117.3"/>
    <x v="131"/>
    <n v="123.2"/>
    <n v="141.6"/>
    <n v="132"/>
    <n v="145.6"/>
    <n v="130.19999999999999"/>
    <n v="122.3"/>
    <n v="129"/>
    <n v="129.6"/>
    <n v="118"/>
    <n v="125.1"/>
    <n v="122.6"/>
    <n v="115.2"/>
    <n v="122"/>
    <n v="132.4"/>
    <n v="120.9"/>
    <n v="122.1"/>
    <n v="127.8"/>
    <n v="131.76666666666668"/>
    <n v="145.6"/>
    <n v="126.25"/>
    <n v="118"/>
    <n v="125.1"/>
    <n v="115.2"/>
    <n v="122"/>
    <x v="0"/>
  </r>
  <r>
    <x v="2"/>
    <x v="4"/>
    <x v="0"/>
    <x v="48"/>
    <n v="132.80000000000001"/>
    <n v="138.19999999999999"/>
    <n v="132.19999999999999"/>
    <n v="135.4"/>
    <n v="119.1"/>
    <n v="133"/>
    <n v="119.4"/>
    <n v="159.5"/>
    <n v="115.6"/>
    <x v="132"/>
    <n v="126.6"/>
    <n v="142.80000000000001"/>
    <n v="133.1"/>
    <n v="143.80000000000001"/>
    <n v="136.6"/>
    <n v="130.19999999999999"/>
    <n v="135.6"/>
    <n v="129.6"/>
    <n v="126.8"/>
    <n v="129.4"/>
    <n v="127.1"/>
    <n v="117"/>
    <n v="124.2"/>
    <n v="133.30000000000001"/>
    <n v="121.7"/>
    <n v="124.4"/>
    <n v="130.30000000000001"/>
    <n v="132.84999999999997"/>
    <n v="143.80000000000001"/>
    <n v="133.39999999999998"/>
    <n v="126.8"/>
    <n v="129.4"/>
    <n v="117"/>
    <n v="124.2"/>
    <x v="0"/>
  </r>
  <r>
    <x v="0"/>
    <x v="4"/>
    <x v="1"/>
    <x v="49"/>
    <n v="133.30000000000001"/>
    <n v="138.30000000000001"/>
    <n v="129.30000000000001"/>
    <n v="137.19999999999999"/>
    <n v="122.1"/>
    <n v="138.69999999999999"/>
    <n v="119.1"/>
    <n v="156.9"/>
    <n v="116.2"/>
    <x v="133"/>
    <n v="129.4"/>
    <n v="144.4"/>
    <n v="133.6"/>
    <n v="143.69999999999999"/>
    <n v="140.9"/>
    <n v="135.80000000000001"/>
    <n v="140.19999999999999"/>
    <n v="130.5"/>
    <n v="133.19999999999999"/>
    <n v="133.6"/>
    <n v="130.1"/>
    <n v="119.5"/>
    <n v="127.7"/>
    <n v="134.9"/>
    <n v="123.2"/>
    <n v="127"/>
    <n v="132.6"/>
    <n v="133.40833333333336"/>
    <n v="143.69999999999999"/>
    <n v="138.35000000000002"/>
    <n v="133.19999999999999"/>
    <n v="133.6"/>
    <n v="119.5"/>
    <n v="127.7"/>
    <x v="0"/>
  </r>
  <r>
    <x v="1"/>
    <x v="4"/>
    <x v="1"/>
    <x v="49"/>
    <n v="132.80000000000001"/>
    <n v="139.80000000000001"/>
    <n v="129.30000000000001"/>
    <n v="133.5"/>
    <n v="114.3"/>
    <n v="131.4"/>
    <n v="120.2"/>
    <n v="143.1"/>
    <n v="119.5"/>
    <x v="134"/>
    <n v="123.4"/>
    <n v="141.9"/>
    <n v="132.1"/>
    <n v="146.30000000000001"/>
    <n v="130.5"/>
    <n v="122.5"/>
    <n v="129.30000000000001"/>
    <n v="130.5"/>
    <n v="119.2"/>
    <n v="125.3"/>
    <n v="122.9"/>
    <n v="115.5"/>
    <n v="122.2"/>
    <n v="132.4"/>
    <n v="121.7"/>
    <n v="122.4"/>
    <n v="128.19999999999999"/>
    <n v="131.10000000000002"/>
    <n v="146.30000000000001"/>
    <n v="126.5"/>
    <n v="119.2"/>
    <n v="125.3"/>
    <n v="115.5"/>
    <n v="122.2"/>
    <x v="0"/>
  </r>
  <r>
    <x v="2"/>
    <x v="4"/>
    <x v="1"/>
    <x v="49"/>
    <n v="133.1"/>
    <n v="138.80000000000001"/>
    <n v="129.30000000000001"/>
    <n v="135.80000000000001"/>
    <n v="119.2"/>
    <n v="135.30000000000001"/>
    <n v="119.5"/>
    <n v="152.19999999999999"/>
    <n v="117.3"/>
    <x v="135"/>
    <n v="126.9"/>
    <n v="143.19999999999999"/>
    <n v="133"/>
    <n v="144.4"/>
    <n v="136.80000000000001"/>
    <n v="130.30000000000001"/>
    <n v="135.9"/>
    <n v="130.5"/>
    <n v="127.9"/>
    <n v="129.69999999999999"/>
    <n v="127.4"/>
    <n v="117.4"/>
    <n v="124.6"/>
    <n v="133.4"/>
    <n v="122.6"/>
    <n v="124.8"/>
    <n v="130.6"/>
    <n v="132.44166666666669"/>
    <n v="144.4"/>
    <n v="133.55000000000001"/>
    <n v="127.9"/>
    <n v="129.69999999999999"/>
    <n v="117.4"/>
    <n v="124.6"/>
    <x v="0"/>
  </r>
  <r>
    <x v="0"/>
    <x v="4"/>
    <x v="2"/>
    <x v="50"/>
    <n v="133.6"/>
    <n v="138.80000000000001"/>
    <n v="128.80000000000001"/>
    <n v="137.19999999999999"/>
    <n v="121.6"/>
    <n v="139.69999999999999"/>
    <n v="119.7"/>
    <n v="148"/>
    <n v="116.9"/>
    <x v="136"/>
    <n v="129.80000000000001"/>
    <n v="145.4"/>
    <n v="133.4"/>
    <n v="144.19999999999999"/>
    <n v="141.6"/>
    <n v="136.19999999999999"/>
    <n v="140.80000000000001"/>
    <n v="131.1"/>
    <n v="134.19999999999999"/>
    <n v="134.1"/>
    <n v="130.6"/>
    <n v="119.8"/>
    <n v="128.30000000000001"/>
    <n v="135.19999999999999"/>
    <n v="123.3"/>
    <n v="127.4"/>
    <n v="132.80000000000001"/>
    <n v="132.92500000000001"/>
    <n v="144.19999999999999"/>
    <n v="138.89999999999998"/>
    <n v="134.19999999999999"/>
    <n v="134.1"/>
    <n v="119.8"/>
    <n v="128.30000000000001"/>
    <x v="0"/>
  </r>
  <r>
    <x v="1"/>
    <x v="4"/>
    <x v="2"/>
    <x v="50"/>
    <n v="132.69999999999999"/>
    <n v="139.4"/>
    <n v="128.4"/>
    <n v="134.9"/>
    <n v="114"/>
    <n v="136.80000000000001"/>
    <n v="122.2"/>
    <n v="135.80000000000001"/>
    <n v="120.3"/>
    <x v="137"/>
    <n v="123.6"/>
    <n v="142.4"/>
    <n v="132.6"/>
    <n v="147.5"/>
    <n v="130.80000000000001"/>
    <n v="122.8"/>
    <n v="129.6"/>
    <n v="131.1"/>
    <n v="120.8"/>
    <n v="125.6"/>
    <n v="123.1"/>
    <n v="115.6"/>
    <n v="122.4"/>
    <n v="132.80000000000001"/>
    <n v="121.7"/>
    <n v="122.6"/>
    <n v="128.69999999999999"/>
    <n v="131.09166666666667"/>
    <n v="147.5"/>
    <n v="126.80000000000001"/>
    <n v="120.8"/>
    <n v="125.6"/>
    <n v="115.6"/>
    <n v="122.4"/>
    <x v="0"/>
  </r>
  <r>
    <x v="2"/>
    <x v="4"/>
    <x v="2"/>
    <x v="50"/>
    <n v="133.30000000000001"/>
    <n v="139"/>
    <n v="128.6"/>
    <n v="136.30000000000001"/>
    <n v="118.8"/>
    <n v="138.30000000000001"/>
    <n v="120.5"/>
    <n v="143.9"/>
    <n v="118"/>
    <x v="138"/>
    <n v="127.2"/>
    <n v="144"/>
    <n v="133.1"/>
    <n v="145.1"/>
    <n v="137.30000000000001"/>
    <n v="130.6"/>
    <n v="136.4"/>
    <n v="131.1"/>
    <n v="129.1"/>
    <n v="130.1"/>
    <n v="127.8"/>
    <n v="117.6"/>
    <n v="125"/>
    <n v="133.80000000000001"/>
    <n v="122.6"/>
    <n v="125.1"/>
    <n v="130.9"/>
    <n v="132.15"/>
    <n v="145.1"/>
    <n v="133.94999999999999"/>
    <n v="129.1"/>
    <n v="130.1"/>
    <n v="117.6"/>
    <n v="125"/>
    <x v="0"/>
  </r>
  <r>
    <x v="0"/>
    <x v="4"/>
    <x v="3"/>
    <x v="51"/>
    <n v="133.19999999999999"/>
    <n v="138.69999999999999"/>
    <n v="127.1"/>
    <n v="137.69999999999999"/>
    <n v="121.3"/>
    <n v="141.80000000000001"/>
    <n v="121.5"/>
    <n v="144.5"/>
    <n v="117.4"/>
    <x v="139"/>
    <n v="130"/>
    <n v="145.5"/>
    <n v="133.5"/>
    <n v="144.4"/>
    <n v="142.4"/>
    <n v="136.80000000000001"/>
    <n v="141.6"/>
    <n v="131.69999999999999"/>
    <n v="135"/>
    <n v="134.30000000000001"/>
    <n v="131"/>
    <n v="119.2"/>
    <n v="128.30000000000001"/>
    <n v="135.69999999999999"/>
    <n v="123.7"/>
    <n v="127.5"/>
    <n v="132.9"/>
    <n v="132.73333333333332"/>
    <n v="144.4"/>
    <n v="139.60000000000002"/>
    <n v="135"/>
    <n v="134.30000000000001"/>
    <n v="119.2"/>
    <n v="128.30000000000001"/>
    <x v="0"/>
  </r>
  <r>
    <x v="1"/>
    <x v="4"/>
    <x v="3"/>
    <x v="51"/>
    <n v="132.69999999999999"/>
    <n v="140.6"/>
    <n v="124.5"/>
    <n v="136.30000000000001"/>
    <n v="113.5"/>
    <n v="137.69999999999999"/>
    <n v="127.1"/>
    <n v="133.80000000000001"/>
    <n v="120.8"/>
    <x v="140"/>
    <n v="123.8"/>
    <n v="142.6"/>
    <n v="133.4"/>
    <n v="148"/>
    <n v="131.19999999999999"/>
    <n v="123"/>
    <n v="130"/>
    <n v="131.69999999999999"/>
    <n v="121.4"/>
    <n v="126"/>
    <n v="123.4"/>
    <n v="114.3"/>
    <n v="122.6"/>
    <n v="133.6"/>
    <n v="122.2"/>
    <n v="122.5"/>
    <n v="129.1"/>
    <n v="131.22499999999999"/>
    <n v="148"/>
    <n v="127.1"/>
    <n v="121.4"/>
    <n v="126"/>
    <n v="114.3"/>
    <n v="122.6"/>
    <x v="0"/>
  </r>
  <r>
    <x v="2"/>
    <x v="4"/>
    <x v="3"/>
    <x v="51"/>
    <n v="133"/>
    <n v="139.4"/>
    <n v="126.1"/>
    <n v="137.19999999999999"/>
    <n v="118.4"/>
    <n v="139.9"/>
    <n v="123.4"/>
    <n v="140.9"/>
    <n v="118.5"/>
    <x v="141"/>
    <n v="127.4"/>
    <n v="144.19999999999999"/>
    <n v="133.5"/>
    <n v="145.4"/>
    <n v="138"/>
    <n v="131.1"/>
    <n v="137"/>
    <n v="131.69999999999999"/>
    <n v="129.80000000000001"/>
    <n v="130.4"/>
    <n v="128.1"/>
    <n v="116.6"/>
    <n v="125.1"/>
    <n v="134.5"/>
    <n v="123.1"/>
    <n v="125.1"/>
    <n v="131.1"/>
    <n v="132.07500000000002"/>
    <n v="145.4"/>
    <n v="134.55000000000001"/>
    <n v="129.80000000000001"/>
    <n v="130.4"/>
    <n v="116.6"/>
    <n v="125.1"/>
    <x v="0"/>
  </r>
  <r>
    <x v="0"/>
    <x v="4"/>
    <x v="4"/>
    <x v="52"/>
    <n v="133.1"/>
    <n v="140.30000000000001"/>
    <n v="126.8"/>
    <n v="138.19999999999999"/>
    <n v="120.8"/>
    <n v="140.19999999999999"/>
    <n v="123.8"/>
    <n v="141.80000000000001"/>
    <n v="118.6"/>
    <x v="142"/>
    <n v="130.30000000000001"/>
    <n v="145.80000000000001"/>
    <n v="133.80000000000001"/>
    <n v="145.5"/>
    <n v="142.5"/>
    <n v="137.30000000000001"/>
    <n v="141.80000000000001"/>
    <n v="132.1"/>
    <n v="135"/>
    <n v="134.9"/>
    <n v="131.4"/>
    <n v="119.4"/>
    <n v="129.4"/>
    <n v="136.30000000000001"/>
    <n v="123.7"/>
    <n v="127.9"/>
    <n v="133.30000000000001"/>
    <n v="132.80833333333331"/>
    <n v="145.5"/>
    <n v="139.9"/>
    <n v="135"/>
    <n v="134.9"/>
    <n v="119.4"/>
    <n v="129.4"/>
    <x v="0"/>
  </r>
  <r>
    <x v="1"/>
    <x v="4"/>
    <x v="4"/>
    <x v="52"/>
    <n v="132.6"/>
    <n v="144.1"/>
    <n v="125.6"/>
    <n v="136.80000000000001"/>
    <n v="113.4"/>
    <n v="135.19999999999999"/>
    <n v="129.19999999999999"/>
    <n v="131.5"/>
    <n v="121"/>
    <x v="143"/>
    <n v="123.8"/>
    <n v="142.9"/>
    <n v="133.6"/>
    <n v="148.30000000000001"/>
    <n v="131.5"/>
    <n v="123.2"/>
    <n v="130.19999999999999"/>
    <n v="132.1"/>
    <n v="120.1"/>
    <n v="126.5"/>
    <n v="123.6"/>
    <n v="114.3"/>
    <n v="122.8"/>
    <n v="133.80000000000001"/>
    <n v="122"/>
    <n v="122.6"/>
    <n v="129.30000000000001"/>
    <n v="131.33333333333334"/>
    <n v="148.30000000000001"/>
    <n v="127.35"/>
    <n v="120.1"/>
    <n v="126.5"/>
    <n v="114.3"/>
    <n v="122.8"/>
    <x v="0"/>
  </r>
  <r>
    <x v="2"/>
    <x v="4"/>
    <x v="4"/>
    <x v="52"/>
    <n v="132.9"/>
    <n v="141.6"/>
    <n v="126.3"/>
    <n v="137.69999999999999"/>
    <n v="118.1"/>
    <n v="137.9"/>
    <n v="125.6"/>
    <n v="138.30000000000001"/>
    <n v="119.4"/>
    <x v="133"/>
    <n v="127.6"/>
    <n v="144.5"/>
    <n v="133.69999999999999"/>
    <n v="146.19999999999999"/>
    <n v="138.19999999999999"/>
    <n v="131.4"/>
    <n v="137.19999999999999"/>
    <n v="132.1"/>
    <n v="129.4"/>
    <n v="130.9"/>
    <n v="128.4"/>
    <n v="116.7"/>
    <n v="125.7"/>
    <n v="134.80000000000001"/>
    <n v="123"/>
    <n v="125.3"/>
    <n v="131.4"/>
    <n v="132.15833333333333"/>
    <n v="146.19999999999999"/>
    <n v="134.80000000000001"/>
    <n v="129.4"/>
    <n v="130.9"/>
    <n v="116.7"/>
    <n v="125.7"/>
    <x v="0"/>
  </r>
  <r>
    <x v="0"/>
    <x v="4"/>
    <x v="5"/>
    <x v="53"/>
    <n v="133.5"/>
    <n v="143.69999999999999"/>
    <n v="128"/>
    <n v="138.6"/>
    <n v="120.9"/>
    <n v="140.9"/>
    <n v="128.80000000000001"/>
    <n v="140.19999999999999"/>
    <n v="118.9"/>
    <x v="144"/>
    <n v="130.4"/>
    <n v="146.5"/>
    <n v="134.9"/>
    <n v="145.80000000000001"/>
    <n v="143.1"/>
    <n v="137.69999999999999"/>
    <n v="142.30000000000001"/>
    <n v="131.4"/>
    <n v="134.80000000000001"/>
    <n v="135.19999999999999"/>
    <n v="131.30000000000001"/>
    <n v="119.4"/>
    <n v="129.80000000000001"/>
    <n v="136.9"/>
    <n v="124.1"/>
    <n v="128.1"/>
    <n v="133.9"/>
    <n v="133.65833333333333"/>
    <n v="145.80000000000001"/>
    <n v="140.39999999999998"/>
    <n v="134.80000000000001"/>
    <n v="135.19999999999999"/>
    <n v="119.4"/>
    <n v="129.80000000000001"/>
    <x v="0"/>
  </r>
  <r>
    <x v="1"/>
    <x v="4"/>
    <x v="5"/>
    <x v="53"/>
    <n v="132.9"/>
    <n v="148.69999999999999"/>
    <n v="128.30000000000001"/>
    <n v="137.30000000000001"/>
    <n v="113.5"/>
    <n v="137.19999999999999"/>
    <n v="142.19999999999999"/>
    <n v="128.19999999999999"/>
    <n v="120.9"/>
    <x v="123"/>
    <n v="124.2"/>
    <n v="143.1"/>
    <n v="135.69999999999999"/>
    <n v="148.6"/>
    <n v="131.5"/>
    <n v="123.2"/>
    <n v="130.19999999999999"/>
    <n v="131.4"/>
    <n v="119"/>
    <n v="126.8"/>
    <n v="123.8"/>
    <n v="113.9"/>
    <n v="122.9"/>
    <n v="134.30000000000001"/>
    <n v="122.5"/>
    <n v="122.7"/>
    <n v="129.9"/>
    <n v="132.94166666666669"/>
    <n v="148.6"/>
    <n v="127.35"/>
    <n v="119"/>
    <n v="126.8"/>
    <n v="113.9"/>
    <n v="122.9"/>
    <x v="0"/>
  </r>
  <r>
    <x v="2"/>
    <x v="4"/>
    <x v="5"/>
    <x v="53"/>
    <n v="133.30000000000001"/>
    <n v="145.5"/>
    <n v="128.1"/>
    <n v="138.1"/>
    <n v="118.2"/>
    <n v="139.19999999999999"/>
    <n v="133.30000000000001"/>
    <n v="136.19999999999999"/>
    <n v="119.6"/>
    <x v="112"/>
    <n v="127.8"/>
    <n v="144.9"/>
    <n v="135.19999999999999"/>
    <n v="146.5"/>
    <n v="138.5"/>
    <n v="131.69999999999999"/>
    <n v="137.5"/>
    <n v="131.4"/>
    <n v="128.80000000000001"/>
    <n v="131.19999999999999"/>
    <n v="128.5"/>
    <n v="116.5"/>
    <n v="125.9"/>
    <n v="135.4"/>
    <n v="123.4"/>
    <n v="125.5"/>
    <n v="132"/>
    <n v="133.29166666666666"/>
    <n v="146.5"/>
    <n v="135.1"/>
    <n v="128.80000000000001"/>
    <n v="131.19999999999999"/>
    <n v="116.5"/>
    <n v="125.9"/>
    <x v="0"/>
  </r>
  <r>
    <x v="0"/>
    <x v="4"/>
    <x v="6"/>
    <x v="54"/>
    <n v="134"/>
    <n v="144.19999999999999"/>
    <n v="129.80000000000001"/>
    <n v="139"/>
    <n v="120.9"/>
    <n v="143.9"/>
    <n v="151.5"/>
    <n v="138.1"/>
    <n v="120"/>
    <x v="107"/>
    <n v="131.4"/>
    <n v="147.69999999999999"/>
    <n v="138.5"/>
    <n v="147.4"/>
    <n v="144.30000000000001"/>
    <n v="138.1"/>
    <n v="143.5"/>
    <n v="132.6"/>
    <n v="135.30000000000001"/>
    <n v="136.1"/>
    <n v="132.1"/>
    <n v="119.1"/>
    <n v="130.6"/>
    <n v="138.6"/>
    <n v="124.4"/>
    <n v="128.6"/>
    <n v="136.19999999999999"/>
    <n v="136.20000000000002"/>
    <n v="147.4"/>
    <n v="141.19999999999999"/>
    <n v="135.30000000000001"/>
    <n v="136.1"/>
    <n v="119.1"/>
    <n v="130.6"/>
    <x v="0"/>
  </r>
  <r>
    <x v="1"/>
    <x v="4"/>
    <x v="6"/>
    <x v="54"/>
    <n v="132.80000000000001"/>
    <n v="148.4"/>
    <n v="129.4"/>
    <n v="137.69999999999999"/>
    <n v="113.4"/>
    <n v="139.4"/>
    <n v="175.1"/>
    <n v="124.7"/>
    <n v="121.5"/>
    <x v="145"/>
    <n v="124.4"/>
    <n v="143.69999999999999"/>
    <n v="139.80000000000001"/>
    <n v="150.5"/>
    <n v="131.6"/>
    <n v="123.7"/>
    <n v="130.4"/>
    <n v="132.6"/>
    <n v="119.7"/>
    <n v="127.2"/>
    <n v="125"/>
    <n v="113.2"/>
    <n v="123.5"/>
    <n v="135.5"/>
    <n v="122.4"/>
    <n v="123"/>
    <n v="131.80000000000001"/>
    <n v="135.69166666666666"/>
    <n v="150.5"/>
    <n v="127.65"/>
    <n v="119.7"/>
    <n v="127.2"/>
    <n v="113.2"/>
    <n v="123.5"/>
    <x v="0"/>
  </r>
  <r>
    <x v="2"/>
    <x v="4"/>
    <x v="6"/>
    <x v="54"/>
    <n v="133.6"/>
    <n v="145.69999999999999"/>
    <n v="129.6"/>
    <n v="138.5"/>
    <n v="118.1"/>
    <n v="141.80000000000001"/>
    <n v="159.5"/>
    <n v="133.6"/>
    <n v="120.5"/>
    <x v="146"/>
    <n v="128.5"/>
    <n v="145.80000000000001"/>
    <n v="139"/>
    <n v="148.19999999999999"/>
    <n v="139.30000000000001"/>
    <n v="132.1"/>
    <n v="138.30000000000001"/>
    <n v="132.6"/>
    <n v="129.4"/>
    <n v="131.9"/>
    <n v="129.4"/>
    <n v="116"/>
    <n v="126.6"/>
    <n v="136.80000000000001"/>
    <n v="123.6"/>
    <n v="125.9"/>
    <n v="134.19999999999999"/>
    <n v="135.86666666666665"/>
    <n v="148.19999999999999"/>
    <n v="135.69999999999999"/>
    <n v="129.4"/>
    <n v="131.9"/>
    <n v="116"/>
    <n v="126.6"/>
    <x v="0"/>
  </r>
  <r>
    <x v="0"/>
    <x v="4"/>
    <x v="7"/>
    <x v="55"/>
    <n v="134.80000000000001"/>
    <n v="143.1"/>
    <n v="130"/>
    <n v="139.4"/>
    <n v="120.5"/>
    <n v="148"/>
    <n v="162.9"/>
    <n v="137.4"/>
    <n v="120.8"/>
    <x v="147"/>
    <n v="131.6"/>
    <n v="148.69999999999999"/>
    <n v="140.6"/>
    <n v="149"/>
    <n v="145.30000000000001"/>
    <n v="139.19999999999999"/>
    <n v="144.5"/>
    <n v="134.4"/>
    <n v="136.4"/>
    <n v="137.30000000000001"/>
    <n v="133"/>
    <n v="120.3"/>
    <n v="131.5"/>
    <n v="140.19999999999999"/>
    <n v="125.4"/>
    <n v="129.69999999999999"/>
    <n v="137.80000000000001"/>
    <n v="137.65833333333333"/>
    <n v="149"/>
    <n v="142.25"/>
    <n v="136.4"/>
    <n v="137.30000000000001"/>
    <n v="120.3"/>
    <n v="131.5"/>
    <x v="0"/>
  </r>
  <r>
    <x v="1"/>
    <x v="4"/>
    <x v="7"/>
    <x v="55"/>
    <n v="133.19999999999999"/>
    <n v="143.9"/>
    <n v="128.30000000000001"/>
    <n v="138.30000000000001"/>
    <n v="114.1"/>
    <n v="142.69999999999999"/>
    <n v="179.8"/>
    <n v="123.5"/>
    <n v="122.1"/>
    <x v="118"/>
    <n v="124.6"/>
    <n v="144.5"/>
    <n v="140.5"/>
    <n v="152.1"/>
    <n v="132.69999999999999"/>
    <n v="124.3"/>
    <n v="131.4"/>
    <n v="134.4"/>
    <n v="118.9"/>
    <n v="127.7"/>
    <n v="125.7"/>
    <n v="114.6"/>
    <n v="124.1"/>
    <n v="135.69999999999999"/>
    <n v="123.3"/>
    <n v="123.8"/>
    <n v="132.69999999999999"/>
    <n v="136.04166666666666"/>
    <n v="152.1"/>
    <n v="128.5"/>
    <n v="118.9"/>
    <n v="127.7"/>
    <n v="114.6"/>
    <n v="124.1"/>
    <x v="0"/>
  </r>
  <r>
    <x v="2"/>
    <x v="4"/>
    <x v="7"/>
    <x v="55"/>
    <n v="134.30000000000001"/>
    <n v="143.4"/>
    <n v="129.30000000000001"/>
    <n v="139"/>
    <n v="118.1"/>
    <n v="145.5"/>
    <n v="168.6"/>
    <n v="132.69999999999999"/>
    <n v="121.2"/>
    <x v="136"/>
    <n v="128.69999999999999"/>
    <n v="146.80000000000001"/>
    <n v="140.6"/>
    <n v="149.80000000000001"/>
    <n v="140.30000000000001"/>
    <n v="133"/>
    <n v="139.30000000000001"/>
    <n v="134.4"/>
    <n v="129.80000000000001"/>
    <n v="132.80000000000001"/>
    <n v="130.19999999999999"/>
    <n v="117.3"/>
    <n v="127.3"/>
    <n v="137.6"/>
    <n v="124.5"/>
    <n v="126.8"/>
    <n v="135.4"/>
    <n v="136.93333333333334"/>
    <n v="149.80000000000001"/>
    <n v="136.65"/>
    <n v="129.80000000000001"/>
    <n v="132.80000000000001"/>
    <n v="117.3"/>
    <n v="127.3"/>
    <x v="0"/>
  </r>
  <r>
    <x v="0"/>
    <x v="4"/>
    <x v="8"/>
    <x v="56"/>
    <n v="135.19999999999999"/>
    <n v="142"/>
    <n v="130.5"/>
    <n v="140.19999999999999"/>
    <n v="120.7"/>
    <n v="147.80000000000001"/>
    <n v="154.5"/>
    <n v="137.1"/>
    <n v="121"/>
    <x v="147"/>
    <n v="131.69999999999999"/>
    <n v="149.30000000000001"/>
    <n v="139.6"/>
    <n v="149.80000000000001"/>
    <n v="146.1"/>
    <n v="139.69999999999999"/>
    <n v="145.19999999999999"/>
    <n v="135.69999999999999"/>
    <n v="137.4"/>
    <n v="137.9"/>
    <n v="133.4"/>
    <n v="121.2"/>
    <n v="132.30000000000001"/>
    <n v="139.6"/>
    <n v="126.7"/>
    <n v="130.30000000000001"/>
    <n v="137.6"/>
    <n v="137.05833333333334"/>
    <n v="149.80000000000001"/>
    <n v="142.89999999999998"/>
    <n v="137.4"/>
    <n v="137.9"/>
    <n v="121.2"/>
    <n v="132.30000000000001"/>
    <x v="0"/>
  </r>
  <r>
    <x v="1"/>
    <x v="4"/>
    <x v="8"/>
    <x v="56"/>
    <n v="133.6"/>
    <n v="143"/>
    <n v="129.69999999999999"/>
    <n v="138.69999999999999"/>
    <n v="114.5"/>
    <n v="137.5"/>
    <n v="160.69999999999999"/>
    <n v="124.5"/>
    <n v="122.4"/>
    <x v="148"/>
    <n v="124.8"/>
    <n v="145"/>
    <n v="138"/>
    <n v="153.6"/>
    <n v="133.30000000000001"/>
    <n v="124.6"/>
    <n v="132"/>
    <n v="135.69999999999999"/>
    <n v="120.6"/>
    <n v="128.1"/>
    <n v="126.1"/>
    <n v="115.7"/>
    <n v="124.5"/>
    <n v="135.9"/>
    <n v="124.4"/>
    <n v="124.5"/>
    <n v="132.4"/>
    <n v="134.30833333333334"/>
    <n v="153.6"/>
    <n v="128.94999999999999"/>
    <n v="120.6"/>
    <n v="128.1"/>
    <n v="115.7"/>
    <n v="124.5"/>
    <x v="0"/>
  </r>
  <r>
    <x v="2"/>
    <x v="4"/>
    <x v="8"/>
    <x v="56"/>
    <n v="134.69999999999999"/>
    <n v="142.4"/>
    <n v="130.19999999999999"/>
    <n v="139.6"/>
    <n v="118.4"/>
    <n v="143"/>
    <n v="156.6"/>
    <n v="132.9"/>
    <n v="121.5"/>
    <x v="136"/>
    <n v="128.80000000000001"/>
    <n v="147.30000000000001"/>
    <n v="139"/>
    <n v="150.80000000000001"/>
    <n v="141.1"/>
    <n v="133.4"/>
    <n v="140"/>
    <n v="135.69999999999999"/>
    <n v="131"/>
    <n v="133.30000000000001"/>
    <n v="130.6"/>
    <n v="118.3"/>
    <n v="127.9"/>
    <n v="137.4"/>
    <n v="125.7"/>
    <n v="127.5"/>
    <n v="135.19999999999999"/>
    <n v="135.91666666666666"/>
    <n v="150.80000000000001"/>
    <n v="137.25"/>
    <n v="131"/>
    <n v="133.30000000000001"/>
    <n v="118.3"/>
    <n v="127.9"/>
    <x v="0"/>
  </r>
  <r>
    <x v="0"/>
    <x v="4"/>
    <x v="9"/>
    <x v="57"/>
    <n v="135.9"/>
    <n v="141.9"/>
    <n v="131"/>
    <n v="141.5"/>
    <n v="121.4"/>
    <n v="146.69999999999999"/>
    <n v="157.1"/>
    <n v="136.4"/>
    <n v="121.4"/>
    <x v="136"/>
    <n v="131.30000000000001"/>
    <n v="150.30000000000001"/>
    <n v="140.4"/>
    <n v="150.5"/>
    <n v="147.19999999999999"/>
    <n v="140.6"/>
    <n v="146.19999999999999"/>
    <n v="137.30000000000001"/>
    <n v="138.1"/>
    <n v="138.4"/>
    <n v="134.19999999999999"/>
    <n v="121"/>
    <n v="133"/>
    <n v="140.1"/>
    <n v="127.4"/>
    <n v="130.69999999999999"/>
    <n v="138.30000000000001"/>
    <n v="137.54166666666666"/>
    <n v="150.5"/>
    <n v="143.89999999999998"/>
    <n v="138.1"/>
    <n v="138.4"/>
    <n v="121"/>
    <n v="133"/>
    <x v="0"/>
  </r>
  <r>
    <x v="1"/>
    <x v="4"/>
    <x v="9"/>
    <x v="57"/>
    <n v="133.9"/>
    <n v="142.80000000000001"/>
    <n v="131.4"/>
    <n v="139.1"/>
    <n v="114.9"/>
    <n v="135.6"/>
    <n v="173.2"/>
    <n v="124.1"/>
    <n v="122.6"/>
    <x v="145"/>
    <n v="125.1"/>
    <n v="145.5"/>
    <n v="139.69999999999999"/>
    <n v="154.6"/>
    <n v="134"/>
    <n v="124.9"/>
    <n v="132.6"/>
    <n v="137.30000000000001"/>
    <n v="122.6"/>
    <n v="128.30000000000001"/>
    <n v="126.6"/>
    <n v="115"/>
    <n v="124.8"/>
    <n v="136.30000000000001"/>
    <n v="124.6"/>
    <n v="124.5"/>
    <n v="133.5"/>
    <n v="135.49999999999997"/>
    <n v="154.6"/>
    <n v="129.44999999999999"/>
    <n v="122.6"/>
    <n v="128.30000000000001"/>
    <n v="115"/>
    <n v="124.8"/>
    <x v="0"/>
  </r>
  <r>
    <x v="2"/>
    <x v="4"/>
    <x v="9"/>
    <x v="57"/>
    <n v="135.30000000000001"/>
    <n v="142.19999999999999"/>
    <n v="131.19999999999999"/>
    <n v="140.6"/>
    <n v="119"/>
    <n v="141.5"/>
    <n v="162.6"/>
    <n v="132.30000000000001"/>
    <n v="121.8"/>
    <x v="115"/>
    <n v="128.69999999999999"/>
    <n v="148.1"/>
    <n v="140.1"/>
    <n v="151.6"/>
    <n v="142"/>
    <n v="134.1"/>
    <n v="140.80000000000001"/>
    <n v="137.30000000000001"/>
    <n v="132.19999999999999"/>
    <n v="133.6"/>
    <n v="131.30000000000001"/>
    <n v="117.8"/>
    <n v="128.4"/>
    <n v="137.9"/>
    <n v="126.2"/>
    <n v="127.7"/>
    <n v="136.1"/>
    <n v="136.63333333333333"/>
    <n v="151.6"/>
    <n v="138.05000000000001"/>
    <n v="132.19999999999999"/>
    <n v="133.6"/>
    <n v="117.8"/>
    <n v="128.4"/>
    <x v="0"/>
  </r>
  <r>
    <x v="0"/>
    <x v="4"/>
    <x v="10"/>
    <x v="58"/>
    <n v="136.30000000000001"/>
    <n v="142.5"/>
    <n v="140.5"/>
    <n v="141.5"/>
    <n v="121.6"/>
    <n v="147.30000000000001"/>
    <n v="168"/>
    <n v="135.80000000000001"/>
    <n v="122.5"/>
    <x v="133"/>
    <n v="131.9"/>
    <n v="151.4"/>
    <n v="142.4"/>
    <n v="152.1"/>
    <n v="148.19999999999999"/>
    <n v="141.5"/>
    <n v="147.30000000000001"/>
    <n v="138.6"/>
    <n v="141.1"/>
    <n v="139.4"/>
    <n v="135.80000000000001"/>
    <n v="121.6"/>
    <n v="133.69999999999999"/>
    <n v="141.5"/>
    <n v="128.1"/>
    <n v="131.69999999999999"/>
    <n v="140"/>
    <n v="139.60833333333335"/>
    <n v="152.1"/>
    <n v="144.85"/>
    <n v="141.1"/>
    <n v="139.4"/>
    <n v="121.6"/>
    <n v="133.69999999999999"/>
    <x v="0"/>
  </r>
  <r>
    <x v="1"/>
    <x v="4"/>
    <x v="10"/>
    <x v="58"/>
    <n v="134.30000000000001"/>
    <n v="142.1"/>
    <n v="146.69999999999999"/>
    <n v="139.5"/>
    <n v="115.2"/>
    <n v="136.4"/>
    <n v="185.2"/>
    <n v="122.2"/>
    <n v="123.9"/>
    <x v="149"/>
    <n v="125.4"/>
    <n v="146"/>
    <n v="141.5"/>
    <n v="156.19999999999999"/>
    <n v="135"/>
    <n v="125.4"/>
    <n v="133.5"/>
    <n v="138.6"/>
    <n v="125.7"/>
    <n v="128.80000000000001"/>
    <n v="127.4"/>
    <n v="115.3"/>
    <n v="125.1"/>
    <n v="136.6"/>
    <n v="124.9"/>
    <n v="124.9"/>
    <n v="134.80000000000001"/>
    <n v="137.93333333333334"/>
    <n v="156.19999999999999"/>
    <n v="130.19999999999999"/>
    <n v="125.7"/>
    <n v="128.80000000000001"/>
    <n v="115.3"/>
    <n v="125.1"/>
    <x v="0"/>
  </r>
  <r>
    <x v="2"/>
    <x v="4"/>
    <x v="10"/>
    <x v="58"/>
    <n v="135.69999999999999"/>
    <n v="142.4"/>
    <n v="142.9"/>
    <n v="140.80000000000001"/>
    <n v="119.2"/>
    <n v="142.19999999999999"/>
    <n v="173.8"/>
    <n v="131.19999999999999"/>
    <n v="123"/>
    <x v="126"/>
    <n v="129.19999999999999"/>
    <n v="148.9"/>
    <n v="142.1"/>
    <n v="153.19999999999999"/>
    <n v="143"/>
    <n v="134.80000000000001"/>
    <n v="141.80000000000001"/>
    <n v="138.6"/>
    <n v="135.30000000000001"/>
    <n v="134.4"/>
    <n v="132.6"/>
    <n v="118.3"/>
    <n v="128.9"/>
    <n v="138.6"/>
    <n v="126.8"/>
    <n v="128.4"/>
    <n v="137.6"/>
    <n v="138.84166666666667"/>
    <n v="153.19999999999999"/>
    <n v="138.9"/>
    <n v="135.30000000000001"/>
    <n v="134.4"/>
    <n v="118.3"/>
    <n v="128.9"/>
    <x v="0"/>
  </r>
  <r>
    <x v="0"/>
    <x v="4"/>
    <x v="11"/>
    <x v="59"/>
    <n v="136.4"/>
    <n v="143.69999999999999"/>
    <n v="144.80000000000001"/>
    <n v="141.9"/>
    <n v="123.1"/>
    <n v="147.19999999999999"/>
    <n v="161"/>
    <n v="133.80000000000001"/>
    <n v="121.9"/>
    <x v="91"/>
    <n v="131.1"/>
    <n v="151.4"/>
    <n v="141.5"/>
    <n v="153.19999999999999"/>
    <n v="148"/>
    <n v="141.9"/>
    <n v="147.19999999999999"/>
    <n v="139.1"/>
    <n v="142.6"/>
    <n v="139.5"/>
    <n v="136.1"/>
    <n v="122"/>
    <n v="133.4"/>
    <n v="141.1"/>
    <n v="127.8"/>
    <n v="131.9"/>
    <n v="139.80000000000001"/>
    <n v="139.34166666666667"/>
    <n v="153.19999999999999"/>
    <n v="144.94999999999999"/>
    <n v="142.6"/>
    <n v="139.5"/>
    <n v="122"/>
    <n v="133.4"/>
    <x v="0"/>
  </r>
  <r>
    <x v="1"/>
    <x v="4"/>
    <x v="11"/>
    <x v="59"/>
    <n v="134.4"/>
    <n v="142.6"/>
    <n v="145.9"/>
    <n v="139.5"/>
    <n v="115.9"/>
    <n v="135"/>
    <n v="163.19999999999999"/>
    <n v="119.8"/>
    <n v="120.7"/>
    <x v="103"/>
    <n v="125.7"/>
    <n v="146.30000000000001"/>
    <n v="138.80000000000001"/>
    <n v="157"/>
    <n v="135.6"/>
    <n v="125.6"/>
    <n v="134"/>
    <n v="139.1"/>
    <n v="126.8"/>
    <n v="129.30000000000001"/>
    <n v="128.19999999999999"/>
    <n v="115.3"/>
    <n v="125.6"/>
    <n v="136.69999999999999"/>
    <n v="124.6"/>
    <n v="125.1"/>
    <n v="134.1"/>
    <n v="135.72499999999999"/>
    <n v="157"/>
    <n v="130.6"/>
    <n v="126.8"/>
    <n v="129.30000000000001"/>
    <n v="115.3"/>
    <n v="125.6"/>
    <x v="0"/>
  </r>
  <r>
    <x v="2"/>
    <x v="4"/>
    <x v="11"/>
    <x v="59"/>
    <n v="135.80000000000001"/>
    <n v="143.30000000000001"/>
    <n v="145.19999999999999"/>
    <n v="141"/>
    <n v="120.5"/>
    <n v="141.5"/>
    <n v="161.69999999999999"/>
    <n v="129.1"/>
    <n v="121.5"/>
    <x v="94"/>
    <n v="128.80000000000001"/>
    <n v="149"/>
    <n v="140.5"/>
    <n v="154.19999999999999"/>
    <n v="143.1"/>
    <n v="135.1"/>
    <n v="142"/>
    <n v="139.1"/>
    <n v="136.6"/>
    <n v="134.69999999999999"/>
    <n v="133.1"/>
    <n v="118.5"/>
    <n v="129"/>
    <n v="138.5"/>
    <n v="126.5"/>
    <n v="128.6"/>
    <n v="137.19999999999999"/>
    <n v="137.87499999999997"/>
    <n v="154.19999999999999"/>
    <n v="139.1"/>
    <n v="136.6"/>
    <n v="134.69999999999999"/>
    <n v="118.5"/>
    <n v="129"/>
    <x v="0"/>
  </r>
  <r>
    <x v="0"/>
    <x v="5"/>
    <x v="0"/>
    <x v="60"/>
    <n v="136.6"/>
    <n v="144.4"/>
    <n v="143.80000000000001"/>
    <n v="142"/>
    <n v="123.2"/>
    <n v="147.9"/>
    <n v="152.1"/>
    <n v="131.80000000000001"/>
    <n v="119.5"/>
    <x v="133"/>
    <n v="131.19999999999999"/>
    <n v="151.80000000000001"/>
    <n v="140.4"/>
    <n v="153.6"/>
    <n v="148.30000000000001"/>
    <n v="142.30000000000001"/>
    <n v="147.5"/>
    <n v="140.4"/>
    <n v="142.30000000000001"/>
    <n v="139.80000000000001"/>
    <n v="136"/>
    <n v="122.7"/>
    <n v="134.30000000000001"/>
    <n v="141.6"/>
    <n v="128.6"/>
    <n v="132.30000000000001"/>
    <n v="139.30000000000001"/>
    <n v="138.35833333333332"/>
    <n v="153.6"/>
    <n v="145.30000000000001"/>
    <n v="142.30000000000001"/>
    <n v="139.80000000000001"/>
    <n v="122.7"/>
    <n v="134.30000000000001"/>
    <x v="0"/>
  </r>
  <r>
    <x v="1"/>
    <x v="5"/>
    <x v="0"/>
    <x v="60"/>
    <n v="134.6"/>
    <n v="143.69999999999999"/>
    <n v="143.6"/>
    <n v="139.6"/>
    <n v="116.4"/>
    <n v="133.80000000000001"/>
    <n v="150.5"/>
    <n v="118.4"/>
    <n v="117.3"/>
    <x v="150"/>
    <n v="125.9"/>
    <n v="146.80000000000001"/>
    <n v="137.19999999999999"/>
    <n v="157.69999999999999"/>
    <n v="136"/>
    <n v="125.9"/>
    <n v="134.4"/>
    <n v="140.4"/>
    <n v="127.3"/>
    <n v="129.5"/>
    <n v="129"/>
    <n v="116.3"/>
    <n v="126.2"/>
    <n v="137.1"/>
    <n v="125.5"/>
    <n v="125.8"/>
    <n v="134.1"/>
    <n v="134.25833333333335"/>
    <n v="157.69999999999999"/>
    <n v="130.94999999999999"/>
    <n v="127.3"/>
    <n v="129.5"/>
    <n v="116.3"/>
    <n v="126.2"/>
    <x v="0"/>
  </r>
  <r>
    <x v="2"/>
    <x v="5"/>
    <x v="0"/>
    <x v="60"/>
    <n v="136"/>
    <n v="144.19999999999999"/>
    <n v="143.69999999999999"/>
    <n v="141.1"/>
    <n v="120.7"/>
    <n v="141.30000000000001"/>
    <n v="151.6"/>
    <n v="127.3"/>
    <n v="118.8"/>
    <x v="118"/>
    <n v="129"/>
    <n v="149.5"/>
    <n v="139.19999999999999"/>
    <n v="154.69999999999999"/>
    <n v="143.5"/>
    <n v="135.5"/>
    <n v="142.30000000000001"/>
    <n v="140.4"/>
    <n v="136.6"/>
    <n v="134.9"/>
    <n v="133.30000000000001"/>
    <n v="119.3"/>
    <n v="129.69999999999999"/>
    <n v="139"/>
    <n v="127.3"/>
    <n v="129.1"/>
    <n v="136.9"/>
    <n v="136.72499999999999"/>
    <n v="154.69999999999999"/>
    <n v="139.5"/>
    <n v="136.6"/>
    <n v="134.9"/>
    <n v="119.3"/>
    <n v="129.69999999999999"/>
    <x v="0"/>
  </r>
  <r>
    <x v="0"/>
    <x v="5"/>
    <x v="1"/>
    <x v="61"/>
    <n v="136.4"/>
    <n v="143.69999999999999"/>
    <n v="140.6"/>
    <n v="141.5"/>
    <n v="122.9"/>
    <n v="149.4"/>
    <n v="142.4"/>
    <n v="130.19999999999999"/>
    <n v="117.9"/>
    <x v="136"/>
    <n v="130.5"/>
    <n v="151.69999999999999"/>
    <n v="138.69999999999999"/>
    <n v="153.30000000000001"/>
    <n v="148.69999999999999"/>
    <n v="142.4"/>
    <n v="147.80000000000001"/>
    <n v="141.30000000000001"/>
    <n v="142.4"/>
    <n v="139.9"/>
    <n v="136.19999999999999"/>
    <n v="123.3"/>
    <n v="134.30000000000001"/>
    <n v="141.5"/>
    <n v="128.80000000000001"/>
    <n v="132.5"/>
    <n v="138.5"/>
    <n v="136.9"/>
    <n v="153.30000000000001"/>
    <n v="145.55000000000001"/>
    <n v="142.4"/>
    <n v="139.9"/>
    <n v="123.3"/>
    <n v="134.30000000000001"/>
    <x v="0"/>
  </r>
  <r>
    <x v="1"/>
    <x v="5"/>
    <x v="1"/>
    <x v="61"/>
    <n v="134.80000000000001"/>
    <n v="143"/>
    <n v="139.9"/>
    <n v="139.9"/>
    <n v="116.2"/>
    <n v="135.5"/>
    <n v="136.9"/>
    <n v="117"/>
    <n v="115.4"/>
    <x v="151"/>
    <n v="125.9"/>
    <n v="147.1"/>
    <n v="135.6"/>
    <n v="159.30000000000001"/>
    <n v="136.30000000000001"/>
    <n v="126.1"/>
    <n v="134.69999999999999"/>
    <n v="141.30000000000001"/>
    <n v="127.3"/>
    <n v="129.9"/>
    <n v="129.80000000000001"/>
    <n v="117.4"/>
    <n v="126.5"/>
    <n v="137.19999999999999"/>
    <n v="126.2"/>
    <n v="126.5"/>
    <n v="134"/>
    <n v="132.69166666666669"/>
    <n v="159.30000000000001"/>
    <n v="131.19999999999999"/>
    <n v="127.3"/>
    <n v="129.9"/>
    <n v="117.4"/>
    <n v="126.5"/>
    <x v="0"/>
  </r>
  <r>
    <x v="2"/>
    <x v="5"/>
    <x v="1"/>
    <x v="61"/>
    <n v="135.9"/>
    <n v="143.5"/>
    <n v="140.30000000000001"/>
    <n v="140.9"/>
    <n v="120.4"/>
    <n v="142.9"/>
    <n v="140.5"/>
    <n v="125.8"/>
    <n v="117.1"/>
    <x v="148"/>
    <n v="128.6"/>
    <n v="149.6"/>
    <n v="137.6"/>
    <n v="154.9"/>
    <n v="143.80000000000001"/>
    <n v="135.6"/>
    <n v="142.6"/>
    <n v="141.30000000000001"/>
    <n v="136.69999999999999"/>
    <n v="135.19999999999999"/>
    <n v="133.80000000000001"/>
    <n v="120.2"/>
    <n v="129.9"/>
    <n v="139"/>
    <n v="127.7"/>
    <n v="129.6"/>
    <n v="136.4"/>
    <n v="135.23333333333332"/>
    <n v="154.9"/>
    <n v="139.69999999999999"/>
    <n v="136.69999999999999"/>
    <n v="135.19999999999999"/>
    <n v="120.2"/>
    <n v="129.9"/>
    <x v="0"/>
  </r>
  <r>
    <x v="0"/>
    <x v="5"/>
    <x v="2"/>
    <x v="62"/>
    <n v="136.80000000000001"/>
    <n v="143.80000000000001"/>
    <n v="140"/>
    <n v="142"/>
    <n v="123.2"/>
    <n v="152.9"/>
    <n v="138"/>
    <n v="129.30000000000001"/>
    <n v="117.1"/>
    <x v="115"/>
    <n v="131.19999999999999"/>
    <n v="152.80000000000001"/>
    <n v="138.6"/>
    <n v="155.1"/>
    <n v="149.19999999999999"/>
    <n v="143"/>
    <n v="148.30000000000001"/>
    <n v="142"/>
    <n v="142.6"/>
    <n v="139.9"/>
    <n v="136.69999999999999"/>
    <n v="124.6"/>
    <n v="135.1"/>
    <n v="142.69999999999999"/>
    <n v="129.30000000000001"/>
    <n v="133.30000000000001"/>
    <n v="138.69999999999999"/>
    <n v="136.94999999999999"/>
    <n v="155.1"/>
    <n v="146.1"/>
    <n v="142.6"/>
    <n v="139.9"/>
    <n v="124.6"/>
    <n v="135.1"/>
    <x v="0"/>
  </r>
  <r>
    <x v="1"/>
    <x v="5"/>
    <x v="2"/>
    <x v="62"/>
    <n v="135"/>
    <n v="143.1"/>
    <n v="135.5"/>
    <n v="139.9"/>
    <n v="116.5"/>
    <n v="138.5"/>
    <n v="128"/>
    <n v="115.5"/>
    <n v="114.2"/>
    <x v="151"/>
    <n v="126.2"/>
    <n v="147.6"/>
    <n v="134.80000000000001"/>
    <n v="159.69999999999999"/>
    <n v="136.69999999999999"/>
    <n v="126.7"/>
    <n v="135.19999999999999"/>
    <n v="142"/>
    <n v="126.4"/>
    <n v="130.80000000000001"/>
    <n v="130.5"/>
    <n v="117.8"/>
    <n v="126.8"/>
    <n v="137.80000000000001"/>
    <n v="126.7"/>
    <n v="127.1"/>
    <n v="134"/>
    <n v="131.72499999999999"/>
    <n v="159.69999999999999"/>
    <n v="131.69999999999999"/>
    <n v="126.4"/>
    <n v="130.80000000000001"/>
    <n v="117.8"/>
    <n v="126.8"/>
    <x v="0"/>
  </r>
  <r>
    <x v="2"/>
    <x v="5"/>
    <x v="2"/>
    <x v="62"/>
    <n v="136.19999999999999"/>
    <n v="143.6"/>
    <n v="138.30000000000001"/>
    <n v="141.19999999999999"/>
    <n v="120.7"/>
    <n v="146.19999999999999"/>
    <n v="134.6"/>
    <n v="124.6"/>
    <n v="116.1"/>
    <x v="145"/>
    <n v="129.1"/>
    <n v="150.4"/>
    <n v="137.19999999999999"/>
    <n v="156.30000000000001"/>
    <n v="144.30000000000001"/>
    <n v="136.19999999999999"/>
    <n v="143.1"/>
    <n v="142"/>
    <n v="136.5"/>
    <n v="135.6"/>
    <n v="134.30000000000001"/>
    <n v="121"/>
    <n v="130.4"/>
    <n v="139.80000000000001"/>
    <n v="128.19999999999999"/>
    <n v="130.30000000000001"/>
    <n v="136.5"/>
    <n v="134.9"/>
    <n v="156.30000000000001"/>
    <n v="140.25"/>
    <n v="136.5"/>
    <n v="135.6"/>
    <n v="121"/>
    <n v="130.4"/>
    <x v="0"/>
  </r>
  <r>
    <x v="0"/>
    <x v="5"/>
    <x v="3"/>
    <x v="63"/>
    <n v="137.1"/>
    <n v="144.5"/>
    <n v="135.9"/>
    <n v="142.4"/>
    <n v="123.5"/>
    <n v="156.4"/>
    <n v="135.1"/>
    <n v="128.4"/>
    <n v="115.2"/>
    <x v="152"/>
    <n v="131.9"/>
    <n v="153.80000000000001"/>
    <n v="138.6"/>
    <n v="156.1"/>
    <n v="150.1"/>
    <n v="143.30000000000001"/>
    <n v="149.1"/>
    <n v="142.9"/>
    <n v="143.80000000000001"/>
    <n v="140.9"/>
    <n v="137.6"/>
    <n v="125.3"/>
    <n v="136"/>
    <n v="143.69999999999999"/>
    <n v="130.4"/>
    <n v="134.19999999999999"/>
    <n v="139.1"/>
    <n v="136.78333333333333"/>
    <n v="156.1"/>
    <n v="146.69999999999999"/>
    <n v="143.80000000000001"/>
    <n v="140.9"/>
    <n v="125.3"/>
    <n v="136"/>
    <x v="0"/>
  </r>
  <r>
    <x v="1"/>
    <x v="5"/>
    <x v="3"/>
    <x v="63"/>
    <n v="135"/>
    <n v="144.30000000000001"/>
    <n v="130.80000000000001"/>
    <n v="140.30000000000001"/>
    <n v="116.6"/>
    <n v="150.1"/>
    <n v="127.6"/>
    <n v="114"/>
    <n v="110.6"/>
    <x v="129"/>
    <n v="126.5"/>
    <n v="148.30000000000001"/>
    <n v="135.69999999999999"/>
    <n v="159.19999999999999"/>
    <n v="137.80000000000001"/>
    <n v="127.4"/>
    <n v="136.19999999999999"/>
    <n v="142.9"/>
    <n v="124.6"/>
    <n v="131.80000000000001"/>
    <n v="131.30000000000001"/>
    <n v="118.9"/>
    <n v="127.6"/>
    <n v="139.69999999999999"/>
    <n v="127.6"/>
    <n v="128.19999999999999"/>
    <n v="134.80000000000001"/>
    <n v="132.02500000000001"/>
    <n v="159.19999999999999"/>
    <n v="132.60000000000002"/>
    <n v="124.6"/>
    <n v="131.80000000000001"/>
    <n v="118.9"/>
    <n v="127.6"/>
    <x v="0"/>
  </r>
  <r>
    <x v="2"/>
    <x v="5"/>
    <x v="3"/>
    <x v="63"/>
    <n v="136.4"/>
    <n v="144.4"/>
    <n v="133.9"/>
    <n v="141.6"/>
    <n v="121"/>
    <n v="153.5"/>
    <n v="132.6"/>
    <n v="123.5"/>
    <n v="113.7"/>
    <x v="153"/>
    <n v="129.6"/>
    <n v="151.19999999999999"/>
    <n v="137.5"/>
    <n v="156.9"/>
    <n v="145.30000000000001"/>
    <n v="136.69999999999999"/>
    <n v="144"/>
    <n v="142.9"/>
    <n v="136.5"/>
    <n v="136.6"/>
    <n v="135.19999999999999"/>
    <n v="121.9"/>
    <n v="131.30000000000001"/>
    <n v="141.4"/>
    <n v="129.19999999999999"/>
    <n v="131.30000000000001"/>
    <n v="137.1"/>
    <n v="134.96666666666667"/>
    <n v="156.9"/>
    <n v="141"/>
    <n v="136.5"/>
    <n v="136.6"/>
    <n v="121.9"/>
    <n v="131.30000000000001"/>
    <x v="0"/>
  </r>
  <r>
    <x v="0"/>
    <x v="5"/>
    <x v="4"/>
    <x v="64"/>
    <n v="137.4"/>
    <n v="145.69999999999999"/>
    <n v="135.5"/>
    <n v="142.9"/>
    <n v="123.6"/>
    <n v="157.5"/>
    <n v="137.80000000000001"/>
    <n v="127.2"/>
    <n v="111.8"/>
    <x v="154"/>
    <n v="132.19999999999999"/>
    <n v="154.30000000000001"/>
    <n v="139.1"/>
    <n v="157"/>
    <n v="150.80000000000001"/>
    <n v="144.1"/>
    <n v="149.80000000000001"/>
    <n v="143.19999999999999"/>
    <n v="144.30000000000001"/>
    <n v="141.80000000000001"/>
    <n v="138.4"/>
    <n v="126.4"/>
    <n v="136.80000000000001"/>
    <n v="144.4"/>
    <n v="131.19999999999999"/>
    <n v="135.1"/>
    <n v="139.80000000000001"/>
    <n v="136.94166666666669"/>
    <n v="157"/>
    <n v="147.44999999999999"/>
    <n v="144.30000000000001"/>
    <n v="141.80000000000001"/>
    <n v="126.4"/>
    <n v="136.80000000000001"/>
    <x v="0"/>
  </r>
  <r>
    <x v="1"/>
    <x v="5"/>
    <x v="4"/>
    <x v="64"/>
    <n v="135"/>
    <n v="148.19999999999999"/>
    <n v="130.5"/>
    <n v="140.69999999999999"/>
    <n v="116.4"/>
    <n v="151.30000000000001"/>
    <n v="131.4"/>
    <n v="112.8"/>
    <n v="105.3"/>
    <x v="132"/>
    <n v="126.6"/>
    <n v="148.69999999999999"/>
    <n v="136.4"/>
    <n v="160.30000000000001"/>
    <n v="138.6"/>
    <n v="127.9"/>
    <n v="137"/>
    <n v="143.19999999999999"/>
    <n v="124.7"/>
    <n v="132.5"/>
    <n v="132"/>
    <n v="119.8"/>
    <n v="128"/>
    <n v="140.4"/>
    <n v="128.1"/>
    <n v="128.9"/>
    <n v="135.4"/>
    <n v="132.20833333333331"/>
    <n v="160.30000000000001"/>
    <n v="133.25"/>
    <n v="124.7"/>
    <n v="132.5"/>
    <n v="119.8"/>
    <n v="128"/>
    <x v="0"/>
  </r>
  <r>
    <x v="2"/>
    <x v="5"/>
    <x v="4"/>
    <x v="64"/>
    <n v="136.6"/>
    <n v="146.6"/>
    <n v="133.6"/>
    <n v="142.1"/>
    <n v="121"/>
    <n v="154.6"/>
    <n v="135.6"/>
    <n v="122.3"/>
    <n v="109.6"/>
    <x v="121"/>
    <n v="129.9"/>
    <n v="151.69999999999999"/>
    <n v="138.1"/>
    <n v="157.9"/>
    <n v="146"/>
    <n v="137.4"/>
    <n v="144.69999999999999"/>
    <n v="143.19999999999999"/>
    <n v="136.9"/>
    <n v="137.4"/>
    <n v="136"/>
    <n v="122.9"/>
    <n v="131.80000000000001"/>
    <n v="142.1"/>
    <n v="129.9"/>
    <n v="132.1"/>
    <n v="137.80000000000001"/>
    <n v="135.14166666666668"/>
    <n v="157.9"/>
    <n v="141.69999999999999"/>
    <n v="136.9"/>
    <n v="137.4"/>
    <n v="122.9"/>
    <n v="131.80000000000001"/>
    <x v="0"/>
  </r>
  <r>
    <x v="0"/>
    <x v="5"/>
    <x v="5"/>
    <x v="65"/>
    <n v="137.6"/>
    <n v="148.1"/>
    <n v="136.69999999999999"/>
    <n v="143.19999999999999"/>
    <n v="124"/>
    <n v="154.1"/>
    <n v="143.5"/>
    <n v="126"/>
    <n v="112.4"/>
    <x v="155"/>
    <n v="132.80000000000001"/>
    <n v="154.30000000000001"/>
    <n v="140"/>
    <n v="157.30000000000001"/>
    <n v="151.30000000000001"/>
    <n v="144.69999999999999"/>
    <n v="150.30000000000001"/>
    <n v="142.5"/>
    <n v="145.1"/>
    <n v="142.19999999999999"/>
    <n v="138.4"/>
    <n v="127.4"/>
    <n v="137.80000000000001"/>
    <n v="145.1"/>
    <n v="131.4"/>
    <n v="135.6"/>
    <n v="140.5"/>
    <n v="137.52499999999998"/>
    <n v="157.30000000000001"/>
    <n v="148"/>
    <n v="145.1"/>
    <n v="142.19999999999999"/>
    <n v="127.4"/>
    <n v="137.80000000000001"/>
    <x v="0"/>
  </r>
  <r>
    <x v="1"/>
    <x v="5"/>
    <x v="5"/>
    <x v="65"/>
    <n v="135.30000000000001"/>
    <n v="149.69999999999999"/>
    <n v="133.9"/>
    <n v="140.80000000000001"/>
    <n v="116.6"/>
    <n v="152.19999999999999"/>
    <n v="144"/>
    <n v="112.3"/>
    <n v="108.4"/>
    <x v="156"/>
    <n v="126.7"/>
    <n v="149"/>
    <n v="138.4"/>
    <n v="161"/>
    <n v="138.9"/>
    <n v="128.69999999999999"/>
    <n v="137.4"/>
    <n v="142.5"/>
    <n v="126.5"/>
    <n v="133.1"/>
    <n v="132.6"/>
    <n v="120.4"/>
    <n v="128.5"/>
    <n v="141.19999999999999"/>
    <n v="128.19999999999999"/>
    <n v="129.5"/>
    <n v="136.19999999999999"/>
    <n v="134.07500000000002"/>
    <n v="161"/>
    <n v="133.80000000000001"/>
    <n v="126.5"/>
    <n v="133.1"/>
    <n v="120.4"/>
    <n v="128.5"/>
    <x v="0"/>
  </r>
  <r>
    <x v="2"/>
    <x v="5"/>
    <x v="5"/>
    <x v="65"/>
    <n v="136.9"/>
    <n v="148.69999999999999"/>
    <n v="135.6"/>
    <n v="142.30000000000001"/>
    <n v="121.3"/>
    <n v="153.19999999999999"/>
    <n v="143.69999999999999"/>
    <n v="121.4"/>
    <n v="111.1"/>
    <x v="157"/>
    <n v="130.30000000000001"/>
    <n v="151.80000000000001"/>
    <n v="139.4"/>
    <n v="158.30000000000001"/>
    <n v="146.4"/>
    <n v="138.1"/>
    <n v="145.19999999999999"/>
    <n v="142.5"/>
    <n v="138.1"/>
    <n v="137.9"/>
    <n v="136.19999999999999"/>
    <n v="123.7"/>
    <n v="132.6"/>
    <n v="142.80000000000001"/>
    <n v="130.1"/>
    <n v="132.6"/>
    <n v="138.5"/>
    <n v="136.22499999999999"/>
    <n v="158.30000000000001"/>
    <n v="142.25"/>
    <n v="138.1"/>
    <n v="137.9"/>
    <n v="123.7"/>
    <n v="132.6"/>
    <x v="0"/>
  </r>
  <r>
    <x v="0"/>
    <x v="5"/>
    <x v="6"/>
    <x v="66"/>
    <n v="138.4"/>
    <n v="149.30000000000001"/>
    <n v="139.30000000000001"/>
    <n v="143.4"/>
    <n v="124.1"/>
    <n v="153.30000000000001"/>
    <n v="154.19999999999999"/>
    <n v="126.4"/>
    <n v="114.3"/>
    <x v="153"/>
    <n v="132.80000000000001"/>
    <n v="154.80000000000001"/>
    <n v="142"/>
    <n v="156.1"/>
    <n v="151.5"/>
    <n v="145.1"/>
    <n v="150.6"/>
    <n v="143.6"/>
    <n v="146.80000000000001"/>
    <n v="143.1"/>
    <n v="139"/>
    <n v="127.5"/>
    <n v="138.4"/>
    <n v="145.80000000000001"/>
    <n v="131.4"/>
    <n v="136"/>
    <n v="141.80000000000001"/>
    <n v="139.04166666666669"/>
    <n v="156.1"/>
    <n v="148.30000000000001"/>
    <n v="146.80000000000001"/>
    <n v="143.1"/>
    <n v="127.5"/>
    <n v="138.4"/>
    <x v="0"/>
  </r>
  <r>
    <x v="1"/>
    <x v="5"/>
    <x v="6"/>
    <x v="66"/>
    <n v="135.6"/>
    <n v="148.6"/>
    <n v="139.1"/>
    <n v="141"/>
    <n v="116.7"/>
    <n v="149.69999999999999"/>
    <n v="159.19999999999999"/>
    <n v="112.6"/>
    <n v="111.8"/>
    <x v="158"/>
    <n v="126.8"/>
    <n v="149.4"/>
    <n v="140.30000000000001"/>
    <n v="161.4"/>
    <n v="139.6"/>
    <n v="128.9"/>
    <n v="137.9"/>
    <n v="143.6"/>
    <n v="128.1"/>
    <n v="133.6"/>
    <n v="133.6"/>
    <n v="120.1"/>
    <n v="129"/>
    <n v="144"/>
    <n v="128.19999999999999"/>
    <n v="130.19999999999999"/>
    <n v="137.5"/>
    <n v="135.9"/>
    <n v="161.4"/>
    <n v="134.25"/>
    <n v="128.1"/>
    <n v="133.6"/>
    <n v="120.1"/>
    <n v="129"/>
    <x v="0"/>
  </r>
  <r>
    <x v="2"/>
    <x v="5"/>
    <x v="6"/>
    <x v="66"/>
    <n v="137.5"/>
    <n v="149.1"/>
    <n v="139.19999999999999"/>
    <n v="142.5"/>
    <n v="121.4"/>
    <n v="151.6"/>
    <n v="155.9"/>
    <n v="121.7"/>
    <n v="113.5"/>
    <x v="159"/>
    <n v="130.30000000000001"/>
    <n v="152.30000000000001"/>
    <n v="141.4"/>
    <n v="157.5"/>
    <n v="146.80000000000001"/>
    <n v="138.4"/>
    <n v="145.6"/>
    <n v="143.6"/>
    <n v="139.69999999999999"/>
    <n v="138.6"/>
    <n v="137"/>
    <n v="123.6"/>
    <n v="133.1"/>
    <n v="144.69999999999999"/>
    <n v="130.1"/>
    <n v="133.19999999999999"/>
    <n v="139.80000000000001"/>
    <n v="137.82499999999999"/>
    <n v="157.5"/>
    <n v="142.60000000000002"/>
    <n v="139.69999999999999"/>
    <n v="138.6"/>
    <n v="123.6"/>
    <n v="133.1"/>
    <x v="0"/>
  </r>
  <r>
    <x v="0"/>
    <x v="5"/>
    <x v="7"/>
    <x v="67"/>
    <n v="139.19999999999999"/>
    <n v="148.80000000000001"/>
    <n v="139.1"/>
    <n v="143.5"/>
    <n v="125"/>
    <n v="154.4"/>
    <n v="156.30000000000001"/>
    <n v="126.8"/>
    <n v="115.4"/>
    <x v="97"/>
    <n v="133.80000000000001"/>
    <n v="155.19999999999999"/>
    <n v="142.69999999999999"/>
    <n v="156.4"/>
    <n v="152.1"/>
    <n v="145.80000000000001"/>
    <n v="151.30000000000001"/>
    <n v="144.6"/>
    <n v="147.69999999999999"/>
    <n v="143.80000000000001"/>
    <n v="139.4"/>
    <n v="128.30000000000001"/>
    <n v="138.6"/>
    <n v="146.9"/>
    <n v="131.30000000000001"/>
    <n v="136.6"/>
    <n v="142.5"/>
    <n v="139.67499999999998"/>
    <n v="156.4"/>
    <n v="148.94999999999999"/>
    <n v="147.69999999999999"/>
    <n v="143.80000000000001"/>
    <n v="128.30000000000001"/>
    <n v="138.6"/>
    <x v="0"/>
  </r>
  <r>
    <x v="1"/>
    <x v="5"/>
    <x v="7"/>
    <x v="67"/>
    <n v="136.5"/>
    <n v="146.4"/>
    <n v="136.6"/>
    <n v="141.19999999999999"/>
    <n v="117.4"/>
    <n v="146.30000000000001"/>
    <n v="157.30000000000001"/>
    <n v="113.6"/>
    <n v="113.3"/>
    <x v="160"/>
    <n v="127.4"/>
    <n v="150.4"/>
    <n v="140.1"/>
    <n v="162.1"/>
    <n v="140"/>
    <n v="129"/>
    <n v="138.30000000000001"/>
    <n v="144.6"/>
    <n v="129.80000000000001"/>
    <n v="134.4"/>
    <n v="134.9"/>
    <n v="120.7"/>
    <n v="129.80000000000001"/>
    <n v="145.30000000000001"/>
    <n v="128.30000000000001"/>
    <n v="131"/>
    <n v="138"/>
    <n v="135.625"/>
    <n v="162.1"/>
    <n v="134.5"/>
    <n v="129.80000000000001"/>
    <n v="134.4"/>
    <n v="120.7"/>
    <n v="129.80000000000001"/>
    <x v="0"/>
  </r>
  <r>
    <x v="2"/>
    <x v="5"/>
    <x v="7"/>
    <x v="67"/>
    <n v="138.30000000000001"/>
    <n v="148"/>
    <n v="138.1"/>
    <n v="142.6"/>
    <n v="122.2"/>
    <n v="150.6"/>
    <n v="156.6"/>
    <n v="122.4"/>
    <n v="114.7"/>
    <x v="161"/>
    <n v="131.1"/>
    <n v="153"/>
    <n v="141.69999999999999"/>
    <n v="157.9"/>
    <n v="147.30000000000001"/>
    <n v="138.80000000000001"/>
    <n v="146.1"/>
    <n v="144.6"/>
    <n v="140.9"/>
    <n v="139.4"/>
    <n v="137.69999999999999"/>
    <n v="124.3"/>
    <n v="133.6"/>
    <n v="146"/>
    <n v="130.1"/>
    <n v="133.9"/>
    <n v="140.4"/>
    <n v="138.08333333333334"/>
    <n v="157.9"/>
    <n v="143.05000000000001"/>
    <n v="140.9"/>
    <n v="139.4"/>
    <n v="124.3"/>
    <n v="133.6"/>
    <x v="0"/>
  </r>
  <r>
    <x v="0"/>
    <x v="5"/>
    <x v="8"/>
    <x v="68"/>
    <n v="139.4"/>
    <n v="147.19999999999999"/>
    <n v="136.6"/>
    <n v="143.69999999999999"/>
    <n v="124.6"/>
    <n v="150.1"/>
    <n v="149.4"/>
    <n v="125.4"/>
    <n v="114.4"/>
    <x v="135"/>
    <n v="133.1"/>
    <n v="155.9"/>
    <n v="141.30000000000001"/>
    <n v="157.69999999999999"/>
    <n v="152.1"/>
    <n v="146.1"/>
    <n v="151.30000000000001"/>
    <n v="145.30000000000001"/>
    <n v="149"/>
    <n v="144"/>
    <n v="140"/>
    <n v="129.9"/>
    <n v="140"/>
    <n v="147.6"/>
    <n v="132"/>
    <n v="137.4"/>
    <n v="142.1"/>
    <n v="138.20833333333334"/>
    <n v="157.69999999999999"/>
    <n v="149.1"/>
    <n v="149"/>
    <n v="144"/>
    <n v="129.9"/>
    <n v="140"/>
    <x v="0"/>
  </r>
  <r>
    <x v="1"/>
    <x v="5"/>
    <x v="8"/>
    <x v="68"/>
    <n v="137"/>
    <n v="143.1"/>
    <n v="132.80000000000001"/>
    <n v="141.5"/>
    <n v="117.8"/>
    <n v="140"/>
    <n v="151.30000000000001"/>
    <n v="113.5"/>
    <n v="112.3"/>
    <x v="162"/>
    <n v="127.7"/>
    <n v="151.30000000000001"/>
    <n v="138.9"/>
    <n v="163.30000000000001"/>
    <n v="140.80000000000001"/>
    <n v="129.30000000000001"/>
    <n v="139.1"/>
    <n v="145.30000000000001"/>
    <n v="131.19999999999999"/>
    <n v="134.9"/>
    <n v="135.69999999999999"/>
    <n v="122.5"/>
    <n v="130.19999999999999"/>
    <n v="145.19999999999999"/>
    <n v="129.30000000000001"/>
    <n v="131.9"/>
    <n v="138.1"/>
    <n v="134.125"/>
    <n v="163.30000000000001"/>
    <n v="135.05000000000001"/>
    <n v="131.19999999999999"/>
    <n v="134.9"/>
    <n v="122.5"/>
    <n v="130.19999999999999"/>
    <x v="0"/>
  </r>
  <r>
    <x v="2"/>
    <x v="5"/>
    <x v="8"/>
    <x v="68"/>
    <n v="138.6"/>
    <n v="145.80000000000001"/>
    <n v="135.1"/>
    <n v="142.9"/>
    <n v="122.1"/>
    <n v="145.4"/>
    <n v="150"/>
    <n v="121.4"/>
    <n v="113.7"/>
    <x v="100"/>
    <n v="130.80000000000001"/>
    <n v="153.80000000000001"/>
    <n v="140.4"/>
    <n v="159.19999999999999"/>
    <n v="147.69999999999999"/>
    <n v="139.1"/>
    <n v="146.5"/>
    <n v="145.30000000000001"/>
    <n v="142.30000000000001"/>
    <n v="139.69999999999999"/>
    <n v="138.4"/>
    <n v="126"/>
    <n v="134.5"/>
    <n v="146.19999999999999"/>
    <n v="130.9"/>
    <n v="134.69999999999999"/>
    <n v="140.19999999999999"/>
    <n v="136.59166666666667"/>
    <n v="159.19999999999999"/>
    <n v="143.39999999999998"/>
    <n v="142.30000000000001"/>
    <n v="139.69999999999999"/>
    <n v="126"/>
    <n v="134.5"/>
    <x v="0"/>
  </r>
  <r>
    <x v="0"/>
    <x v="5"/>
    <x v="9"/>
    <x v="69"/>
    <n v="139.30000000000001"/>
    <n v="147.6"/>
    <n v="134.6"/>
    <n v="141.9"/>
    <n v="123.5"/>
    <n v="144.5"/>
    <n v="147.6"/>
    <n v="121.4"/>
    <n v="112.3"/>
    <x v="100"/>
    <n v="134.6"/>
    <n v="155.19999999999999"/>
    <n v="140.19999999999999"/>
    <n v="159.6"/>
    <n v="150.69999999999999"/>
    <n v="144.5"/>
    <n v="149.80000000000001"/>
    <n v="146.30000000000001"/>
    <n v="149.69999999999999"/>
    <n v="147.5"/>
    <n v="144.80000000000001"/>
    <n v="130.80000000000001"/>
    <n v="140.1"/>
    <n v="148"/>
    <n v="134.4"/>
    <n v="139.80000000000001"/>
    <n v="142.19999999999999"/>
    <n v="136.83333333333334"/>
    <n v="159.6"/>
    <n v="147.6"/>
    <n v="149.69999999999999"/>
    <n v="147.5"/>
    <n v="130.80000000000001"/>
    <n v="140.1"/>
    <x v="0"/>
  </r>
  <r>
    <x v="1"/>
    <x v="5"/>
    <x v="9"/>
    <x v="69"/>
    <n v="137.6"/>
    <n v="144.9"/>
    <n v="133.5"/>
    <n v="141.5"/>
    <n v="118"/>
    <n v="139.5"/>
    <n v="153"/>
    <n v="113.2"/>
    <n v="112.8"/>
    <x v="160"/>
    <n v="127.6"/>
    <n v="152"/>
    <n v="139.4"/>
    <n v="164"/>
    <n v="141.5"/>
    <n v="129.80000000000001"/>
    <n v="139.69999999999999"/>
    <n v="146.9"/>
    <n v="133.4"/>
    <n v="135.1"/>
    <n v="136.19999999999999"/>
    <n v="123.3"/>
    <n v="130.69999999999999"/>
    <n v="145.5"/>
    <n v="130.4"/>
    <n v="132.5"/>
    <n v="138.9"/>
    <n v="134.55833333333331"/>
    <n v="164"/>
    <n v="135.65"/>
    <n v="133.4"/>
    <n v="135.1"/>
    <n v="123.3"/>
    <n v="130.69999999999999"/>
    <x v="0"/>
  </r>
  <r>
    <x v="2"/>
    <x v="5"/>
    <x v="9"/>
    <x v="69"/>
    <n v="137.4"/>
    <n v="149.5"/>
    <n v="137.30000000000001"/>
    <n v="141.9"/>
    <n v="121.1"/>
    <n v="142.5"/>
    <n v="146.69999999999999"/>
    <n v="119.1"/>
    <n v="111.9"/>
    <x v="163"/>
    <n v="133.6"/>
    <n v="154.5"/>
    <n v="139.69999999999999"/>
    <n v="162.6"/>
    <n v="148"/>
    <n v="139.19999999999999"/>
    <n v="146.80000000000001"/>
    <n v="146.9"/>
    <n v="145.30000000000001"/>
    <n v="142.19999999999999"/>
    <n v="142.1"/>
    <n v="125.5"/>
    <n v="136.5"/>
    <n v="147.80000000000001"/>
    <n v="132"/>
    <n v="136.30000000000001"/>
    <n v="140.80000000000001"/>
    <n v="136.375"/>
    <n v="162.6"/>
    <n v="143.6"/>
    <n v="145.30000000000001"/>
    <n v="142.19999999999999"/>
    <n v="125.5"/>
    <n v="136.5"/>
    <x v="0"/>
  </r>
  <r>
    <x v="0"/>
    <x v="5"/>
    <x v="10"/>
    <x v="70"/>
    <n v="137.1"/>
    <n v="150.80000000000001"/>
    <n v="136.69999999999999"/>
    <n v="141.9"/>
    <n v="122.8"/>
    <n v="143.9"/>
    <n v="147.5"/>
    <n v="121"/>
    <n v="111.6"/>
    <x v="164"/>
    <n v="137.5"/>
    <n v="156.1"/>
    <n v="140"/>
    <n v="161.9"/>
    <n v="151.69999999999999"/>
    <n v="145.5"/>
    <n v="150.80000000000001"/>
    <n v="146.9"/>
    <n v="150.30000000000001"/>
    <n v="148"/>
    <n v="145.4"/>
    <n v="130.30000000000001"/>
    <n v="143.1"/>
    <n v="150.19999999999999"/>
    <n v="133.1"/>
    <n v="140.1"/>
    <n v="142.4"/>
    <n v="137.29166666666663"/>
    <n v="161.9"/>
    <n v="148.6"/>
    <n v="150.30000000000001"/>
    <n v="148"/>
    <n v="130.30000000000001"/>
    <n v="143.1"/>
    <x v="0"/>
  </r>
  <r>
    <x v="1"/>
    <x v="5"/>
    <x v="10"/>
    <x v="70"/>
    <n v="138.1"/>
    <n v="146.30000000000001"/>
    <n v="137.80000000000001"/>
    <n v="141.6"/>
    <n v="118.1"/>
    <n v="141.5"/>
    <n v="145.19999999999999"/>
    <n v="115.3"/>
    <n v="112.5"/>
    <x v="165"/>
    <n v="128"/>
    <n v="152.6"/>
    <n v="139.1"/>
    <n v="164.4"/>
    <n v="142.4"/>
    <n v="130.19999999999999"/>
    <n v="140.5"/>
    <n v="146.9"/>
    <n v="136.69999999999999"/>
    <n v="135.80000000000001"/>
    <n v="136.80000000000001"/>
    <n v="121.2"/>
    <n v="131.30000000000001"/>
    <n v="146.1"/>
    <n v="130.5"/>
    <n v="132.19999999999999"/>
    <n v="139"/>
    <n v="134.86666666666665"/>
    <n v="164.4"/>
    <n v="136.30000000000001"/>
    <n v="136.69999999999999"/>
    <n v="135.80000000000001"/>
    <n v="121.2"/>
    <n v="131.30000000000001"/>
    <x v="0"/>
  </r>
  <r>
    <x v="2"/>
    <x v="5"/>
    <x v="10"/>
    <x v="70"/>
    <n v="137.4"/>
    <n v="149.19999999999999"/>
    <n v="137.1"/>
    <n v="141.80000000000001"/>
    <n v="121.1"/>
    <n v="142.80000000000001"/>
    <n v="146.69999999999999"/>
    <n v="119.1"/>
    <n v="111.9"/>
    <x v="166"/>
    <n v="133.5"/>
    <n v="154.5"/>
    <n v="139.69999999999999"/>
    <n v="162.6"/>
    <n v="148"/>
    <n v="139.1"/>
    <n v="146.69999999999999"/>
    <n v="146.9"/>
    <n v="145.1"/>
    <n v="142.19999999999999"/>
    <n v="142.1"/>
    <n v="125.5"/>
    <n v="136.5"/>
    <n v="147.80000000000001"/>
    <n v="132"/>
    <n v="136.30000000000001"/>
    <n v="140.80000000000001"/>
    <n v="136.33333333333334"/>
    <n v="162.6"/>
    <n v="143.55000000000001"/>
    <n v="145.1"/>
    <n v="142.19999999999999"/>
    <n v="125.5"/>
    <n v="136.5"/>
    <x v="0"/>
  </r>
  <r>
    <x v="0"/>
    <x v="5"/>
    <x v="11"/>
    <x v="71"/>
    <n v="137.1"/>
    <n v="151.9"/>
    <n v="137.4"/>
    <n v="142.4"/>
    <n v="124.2"/>
    <n v="140.19999999999999"/>
    <n v="136.6"/>
    <n v="120.9"/>
    <n v="109.9"/>
    <x v="129"/>
    <n v="137.80000000000001"/>
    <n v="156"/>
    <n v="138.5"/>
    <n v="162.4"/>
    <n v="151.6"/>
    <n v="145.9"/>
    <n v="150.80000000000001"/>
    <n v="146.5"/>
    <n v="149"/>
    <n v="149.5"/>
    <n v="149.6"/>
    <n v="128.9"/>
    <n v="143.30000000000001"/>
    <n v="155.1"/>
    <n v="133.19999999999999"/>
    <n v="141.6"/>
    <n v="141.9"/>
    <n v="136.21666666666667"/>
    <n v="162.4"/>
    <n v="148.75"/>
    <n v="149"/>
    <n v="149.5"/>
    <n v="128.9"/>
    <n v="143.30000000000001"/>
    <x v="0"/>
  </r>
  <r>
    <x v="1"/>
    <x v="5"/>
    <x v="11"/>
    <x v="71"/>
    <n v="138.5"/>
    <n v="147.80000000000001"/>
    <n v="141.1"/>
    <n v="141.6"/>
    <n v="118.1"/>
    <n v="138.5"/>
    <n v="132.4"/>
    <n v="117.5"/>
    <n v="111"/>
    <x v="111"/>
    <n v="128.1"/>
    <n v="152.9"/>
    <n v="137.6"/>
    <n v="164.6"/>
    <n v="142.69999999999999"/>
    <n v="130.30000000000001"/>
    <n v="140.80000000000001"/>
    <n v="146.5"/>
    <n v="132.4"/>
    <n v="136.19999999999999"/>
    <n v="137.30000000000001"/>
    <n v="118.8"/>
    <n v="131.69999999999999"/>
    <n v="146.5"/>
    <n v="130.80000000000001"/>
    <n v="131.69999999999999"/>
    <n v="138"/>
    <n v="134.08333333333334"/>
    <n v="164.6"/>
    <n v="136.5"/>
    <n v="132.4"/>
    <n v="136.19999999999999"/>
    <n v="118.8"/>
    <n v="131.69999999999999"/>
    <x v="0"/>
  </r>
  <r>
    <x v="2"/>
    <x v="5"/>
    <x v="11"/>
    <x v="71"/>
    <n v="137.5"/>
    <n v="150.5"/>
    <n v="138.80000000000001"/>
    <n v="142.1"/>
    <n v="122"/>
    <n v="139.4"/>
    <n v="135.19999999999999"/>
    <n v="119.8"/>
    <n v="110.3"/>
    <x v="164"/>
    <n v="133.80000000000001"/>
    <n v="154.6"/>
    <n v="138.19999999999999"/>
    <n v="163"/>
    <n v="148.1"/>
    <n v="139.4"/>
    <n v="146.80000000000001"/>
    <n v="146.5"/>
    <n v="142.69999999999999"/>
    <n v="143.19999999999999"/>
    <n v="144.9"/>
    <n v="123.6"/>
    <n v="136.80000000000001"/>
    <n v="150.1"/>
    <n v="132.19999999999999"/>
    <n v="136.80000000000001"/>
    <n v="140.1"/>
    <n v="135.3833333333333"/>
    <n v="163"/>
    <n v="143.75"/>
    <n v="142.69999999999999"/>
    <n v="143.19999999999999"/>
    <n v="123.6"/>
    <n v="136.80000000000001"/>
    <x v="0"/>
  </r>
  <r>
    <x v="0"/>
    <x v="6"/>
    <x v="0"/>
    <x v="72"/>
    <n v="136.6"/>
    <n v="152.5"/>
    <n v="138.19999999999999"/>
    <n v="142.4"/>
    <n v="123.9"/>
    <n v="135.5"/>
    <n v="131.69999999999999"/>
    <n v="121.3"/>
    <n v="108.4"/>
    <x v="159"/>
    <n v="137"/>
    <n v="155.80000000000001"/>
    <n v="137.4"/>
    <n v="162.69999999999999"/>
    <n v="150.6"/>
    <n v="145.1"/>
    <n v="149.9"/>
    <n v="147.69999999999999"/>
    <n v="146.19999999999999"/>
    <n v="150.1"/>
    <n v="149.6"/>
    <n v="128.6"/>
    <n v="142.9"/>
    <n v="155.19999999999999"/>
    <n v="133.5"/>
    <n v="141.69999999999999"/>
    <n v="141"/>
    <n v="135.18333333333334"/>
    <n v="162.69999999999999"/>
    <n v="147.85"/>
    <n v="146.19999999999999"/>
    <n v="150.1"/>
    <n v="128.6"/>
    <n v="142.9"/>
    <x v="0"/>
  </r>
  <r>
    <x v="1"/>
    <x v="6"/>
    <x v="0"/>
    <x v="72"/>
    <n v="138.30000000000001"/>
    <n v="149.4"/>
    <n v="143.5"/>
    <n v="141.69999999999999"/>
    <n v="118.1"/>
    <n v="135.19999999999999"/>
    <n v="130.5"/>
    <n v="118.2"/>
    <n v="110.4"/>
    <x v="109"/>
    <n v="128.1"/>
    <n v="153.19999999999999"/>
    <n v="137.30000000000001"/>
    <n v="164.7"/>
    <n v="143"/>
    <n v="130.4"/>
    <n v="141.1"/>
    <n v="147.69999999999999"/>
    <n v="128.6"/>
    <n v="136.30000000000001"/>
    <n v="137.80000000000001"/>
    <n v="118.6"/>
    <n v="131.9"/>
    <n v="146.6"/>
    <n v="131.69999999999999"/>
    <n v="131.80000000000001"/>
    <n v="138"/>
    <n v="133.91666666666669"/>
    <n v="164.7"/>
    <n v="136.69999999999999"/>
    <n v="128.6"/>
    <n v="136.30000000000001"/>
    <n v="118.6"/>
    <n v="131.9"/>
    <x v="0"/>
  </r>
  <r>
    <x v="2"/>
    <x v="6"/>
    <x v="0"/>
    <x v="72"/>
    <n v="137.1"/>
    <n v="151.4"/>
    <n v="140.19999999999999"/>
    <n v="142.1"/>
    <n v="121.8"/>
    <n v="135.4"/>
    <n v="131.30000000000001"/>
    <n v="120.3"/>
    <n v="109.1"/>
    <x v="161"/>
    <n v="133.30000000000001"/>
    <n v="154.6"/>
    <n v="137.4"/>
    <n v="163.19999999999999"/>
    <n v="147.6"/>
    <n v="139"/>
    <n v="146.4"/>
    <n v="147.69999999999999"/>
    <n v="139.5"/>
    <n v="143.6"/>
    <n v="145.1"/>
    <n v="123.3"/>
    <n v="136.69999999999999"/>
    <n v="150.19999999999999"/>
    <n v="132.80000000000001"/>
    <n v="136.9"/>
    <n v="139.6"/>
    <n v="134.66666666666666"/>
    <n v="163.19999999999999"/>
    <n v="143.30000000000001"/>
    <n v="139.5"/>
    <n v="143.6"/>
    <n v="123.3"/>
    <n v="136.69999999999999"/>
    <x v="0"/>
  </r>
  <r>
    <x v="0"/>
    <x v="6"/>
    <x v="1"/>
    <x v="73"/>
    <n v="136.80000000000001"/>
    <n v="153"/>
    <n v="139.1"/>
    <n v="142.5"/>
    <n v="124.1"/>
    <n v="135.80000000000001"/>
    <n v="128.69999999999999"/>
    <n v="121.5"/>
    <n v="108.3"/>
    <x v="167"/>
    <n v="137.4"/>
    <n v="156.19999999999999"/>
    <n v="137.19999999999999"/>
    <n v="162.80000000000001"/>
    <n v="150.5"/>
    <n v="146.1"/>
    <n v="149.9"/>
    <n v="148.5"/>
    <n v="145.30000000000001"/>
    <n v="150.1"/>
    <n v="149.9"/>
    <n v="129.19999999999999"/>
    <n v="143.4"/>
    <n v="155.5"/>
    <n v="134.9"/>
    <n v="142.19999999999999"/>
    <n v="141"/>
    <n v="135.21666666666667"/>
    <n v="162.80000000000001"/>
    <n v="148.30000000000001"/>
    <n v="145.30000000000001"/>
    <n v="150.1"/>
    <n v="129.19999999999999"/>
    <n v="143.4"/>
    <x v="0"/>
  </r>
  <r>
    <x v="1"/>
    <x v="6"/>
    <x v="1"/>
    <x v="73"/>
    <n v="139.4"/>
    <n v="150.1"/>
    <n v="145.30000000000001"/>
    <n v="141.69999999999999"/>
    <n v="118.4"/>
    <n v="137"/>
    <n v="131.6"/>
    <n v="119.9"/>
    <n v="110.4"/>
    <x v="168"/>
    <n v="128.30000000000001"/>
    <n v="153.5"/>
    <n v="138"/>
    <n v="164.9"/>
    <n v="143.30000000000001"/>
    <n v="130.80000000000001"/>
    <n v="141.4"/>
    <n v="148.5"/>
    <n v="127.1"/>
    <n v="136.6"/>
    <n v="138.5"/>
    <n v="119.2"/>
    <n v="132.19999999999999"/>
    <n v="146.6"/>
    <n v="133"/>
    <n v="132.4"/>
    <n v="138.6"/>
    <n v="134.70000000000002"/>
    <n v="164.9"/>
    <n v="137.05000000000001"/>
    <n v="127.1"/>
    <n v="136.6"/>
    <n v="119.2"/>
    <n v="132.19999999999999"/>
    <x v="0"/>
  </r>
  <r>
    <x v="2"/>
    <x v="6"/>
    <x v="1"/>
    <x v="73"/>
    <n v="137.6"/>
    <n v="152"/>
    <n v="141.5"/>
    <n v="142.19999999999999"/>
    <n v="122"/>
    <n v="136.4"/>
    <n v="129.69999999999999"/>
    <n v="121"/>
    <n v="109"/>
    <x v="103"/>
    <n v="133.6"/>
    <n v="154.9"/>
    <n v="137.5"/>
    <n v="163.4"/>
    <n v="147.69999999999999"/>
    <n v="139.69999999999999"/>
    <n v="146.5"/>
    <n v="148.5"/>
    <n v="138.4"/>
    <n v="143.69999999999999"/>
    <n v="145.6"/>
    <n v="123.9"/>
    <n v="137.1"/>
    <n v="150.30000000000001"/>
    <n v="134.1"/>
    <n v="137.4"/>
    <n v="139.9"/>
    <n v="134.96666666666667"/>
    <n v="163.4"/>
    <n v="143.69999999999999"/>
    <n v="138.4"/>
    <n v="143.69999999999999"/>
    <n v="123.9"/>
    <n v="137.1"/>
    <x v="0"/>
  </r>
  <r>
    <x v="0"/>
    <x v="6"/>
    <x v="2"/>
    <x v="74"/>
    <n v="136.9"/>
    <n v="154.1"/>
    <n v="138.69999999999999"/>
    <n v="142.5"/>
    <n v="124.1"/>
    <n v="136.1"/>
    <n v="128.19999999999999"/>
    <n v="122.3"/>
    <n v="108.3"/>
    <x v="159"/>
    <n v="137.4"/>
    <n v="156.4"/>
    <n v="137.30000000000001"/>
    <n v="162.9"/>
    <n v="150.80000000000001"/>
    <n v="146.1"/>
    <n v="150.1"/>
    <n v="149"/>
    <n v="146.4"/>
    <n v="150"/>
    <n v="150.4"/>
    <n v="129.9"/>
    <n v="143.80000000000001"/>
    <n v="155.5"/>
    <n v="134"/>
    <n v="142.4"/>
    <n v="141.19999999999999"/>
    <n v="135.32500000000002"/>
    <n v="162.9"/>
    <n v="148.44999999999999"/>
    <n v="146.4"/>
    <n v="150"/>
    <n v="129.9"/>
    <n v="143.80000000000001"/>
    <x v="0"/>
  </r>
  <r>
    <x v="1"/>
    <x v="6"/>
    <x v="2"/>
    <x v="74"/>
    <n v="139.69999999999999"/>
    <n v="151.1"/>
    <n v="142.9"/>
    <n v="141.9"/>
    <n v="118.4"/>
    <n v="139.4"/>
    <n v="141.19999999999999"/>
    <n v="120.7"/>
    <n v="110.4"/>
    <x v="151"/>
    <n v="128.5"/>
    <n v="153.9"/>
    <n v="139.6"/>
    <n v="165.3"/>
    <n v="143.5"/>
    <n v="131.19999999999999"/>
    <n v="141.6"/>
    <n v="149"/>
    <n v="128.80000000000001"/>
    <n v="136.80000000000001"/>
    <n v="139.19999999999999"/>
    <n v="119.9"/>
    <n v="133"/>
    <n v="146.69999999999999"/>
    <n v="132.5"/>
    <n v="132.80000000000001"/>
    <n v="139.5"/>
    <n v="135.73333333333335"/>
    <n v="165.3"/>
    <n v="137.35"/>
    <n v="128.80000000000001"/>
    <n v="136.80000000000001"/>
    <n v="119.9"/>
    <n v="133"/>
    <x v="0"/>
  </r>
  <r>
    <x v="2"/>
    <x v="6"/>
    <x v="2"/>
    <x v="74"/>
    <n v="137.80000000000001"/>
    <n v="153"/>
    <n v="140.30000000000001"/>
    <n v="142.30000000000001"/>
    <n v="122"/>
    <n v="137.6"/>
    <n v="132.6"/>
    <n v="121.8"/>
    <n v="109"/>
    <x v="100"/>
    <n v="133.69999999999999"/>
    <n v="155.19999999999999"/>
    <n v="138.1"/>
    <n v="163.5"/>
    <n v="147.9"/>
    <n v="139.9"/>
    <n v="146.69999999999999"/>
    <n v="149"/>
    <n v="139.69999999999999"/>
    <n v="143.80000000000001"/>
    <n v="146.19999999999999"/>
    <n v="124.6"/>
    <n v="137.69999999999999"/>
    <n v="150.30000000000001"/>
    <n v="133.4"/>
    <n v="137.69999999999999"/>
    <n v="140.4"/>
    <n v="135.4"/>
    <n v="163.5"/>
    <n v="143.9"/>
    <n v="139.69999999999999"/>
    <n v="143.80000000000001"/>
    <n v="124.6"/>
    <n v="137.69999999999999"/>
    <x v="0"/>
  </r>
  <r>
    <x v="0"/>
    <x v="6"/>
    <x v="4"/>
    <x v="75"/>
    <n v="137.4"/>
    <n v="159.5"/>
    <n v="134.5"/>
    <n v="142.6"/>
    <n v="124"/>
    <n v="143.69999999999999"/>
    <n v="133.4"/>
    <n v="125.1"/>
    <n v="109.3"/>
    <x v="125"/>
    <n v="137.69999999999999"/>
    <n v="156.4"/>
    <n v="139.19999999999999"/>
    <n v="163.30000000000001"/>
    <n v="151.30000000000001"/>
    <n v="146.6"/>
    <n v="150.69999999999999"/>
    <n v="150.1"/>
    <n v="146.9"/>
    <n v="149.5"/>
    <n v="151.30000000000001"/>
    <n v="130.19999999999999"/>
    <n v="145.9"/>
    <n v="156.69999999999999"/>
    <n v="133.9"/>
    <n v="142.9"/>
    <n v="142.4"/>
    <n v="136.90833333333333"/>
    <n v="163.30000000000001"/>
    <n v="148.94999999999999"/>
    <n v="146.9"/>
    <n v="149.5"/>
    <n v="130.19999999999999"/>
    <n v="145.9"/>
    <x v="0"/>
  </r>
  <r>
    <x v="1"/>
    <x v="6"/>
    <x v="4"/>
    <x v="75"/>
    <n v="140.4"/>
    <n v="156.69999999999999"/>
    <n v="138.30000000000001"/>
    <n v="142.4"/>
    <n v="118.6"/>
    <n v="149.69999999999999"/>
    <n v="161.6"/>
    <n v="124.4"/>
    <n v="111.2"/>
    <x v="163"/>
    <n v="128.9"/>
    <n v="154.5"/>
    <n v="143.80000000000001"/>
    <n v="166.2"/>
    <n v="144"/>
    <n v="131.69999999999999"/>
    <n v="142.19999999999999"/>
    <n v="150.1"/>
    <n v="129.4"/>
    <n v="137.19999999999999"/>
    <n v="139.80000000000001"/>
    <n v="120.1"/>
    <n v="134"/>
    <n v="148"/>
    <n v="132.6"/>
    <n v="133.30000000000001"/>
    <n v="141.5"/>
    <n v="138.97500000000002"/>
    <n v="166.2"/>
    <n v="137.85"/>
    <n v="129.4"/>
    <n v="137.19999999999999"/>
    <n v="120.1"/>
    <n v="134"/>
    <x v="0"/>
  </r>
  <r>
    <x v="2"/>
    <x v="6"/>
    <x v="4"/>
    <x v="75"/>
    <n v="138.30000000000001"/>
    <n v="158.5"/>
    <n v="136"/>
    <n v="142.5"/>
    <n v="122"/>
    <n v="146.5"/>
    <n v="143"/>
    <n v="124.9"/>
    <n v="109.9"/>
    <x v="143"/>
    <n v="134"/>
    <n v="155.5"/>
    <n v="140.9"/>
    <n v="164.1"/>
    <n v="148.4"/>
    <n v="140.4"/>
    <n v="147.30000000000001"/>
    <n v="150.1"/>
    <n v="140.30000000000001"/>
    <n v="143.69999999999999"/>
    <n v="146.9"/>
    <n v="124.9"/>
    <n v="139.19999999999999"/>
    <n v="151.6"/>
    <n v="133.4"/>
    <n v="138.19999999999999"/>
    <n v="142"/>
    <n v="137.58333333333334"/>
    <n v="164.1"/>
    <n v="144.4"/>
    <n v="140.30000000000001"/>
    <n v="143.69999999999999"/>
    <n v="124.9"/>
    <n v="139.19999999999999"/>
    <x v="0"/>
  </r>
  <r>
    <x v="0"/>
    <x v="6"/>
    <x v="5"/>
    <x v="76"/>
    <n v="137.80000000000001"/>
    <n v="163.5"/>
    <n v="136.19999999999999"/>
    <n v="143.19999999999999"/>
    <n v="124.3"/>
    <n v="143.30000000000001"/>
    <n v="140.6"/>
    <n v="128.69999999999999"/>
    <n v="110.6"/>
    <x v="109"/>
    <n v="138"/>
    <n v="156.6"/>
    <n v="141"/>
    <n v="164.2"/>
    <n v="151.4"/>
    <n v="146.5"/>
    <n v="150.69999999999999"/>
    <n v="149.4"/>
    <n v="147.80000000000001"/>
    <n v="149.6"/>
    <n v="151.69999999999999"/>
    <n v="130.19999999999999"/>
    <n v="146.4"/>
    <n v="157.69999999999999"/>
    <n v="134.80000000000001"/>
    <n v="143.30000000000001"/>
    <n v="143.6"/>
    <n v="138.6"/>
    <n v="164.2"/>
    <n v="148.94999999999999"/>
    <n v="147.80000000000001"/>
    <n v="149.6"/>
    <n v="130.19999999999999"/>
    <n v="146.4"/>
    <x v="0"/>
  </r>
  <r>
    <x v="1"/>
    <x v="6"/>
    <x v="5"/>
    <x v="76"/>
    <n v="140.69999999999999"/>
    <n v="159.6"/>
    <n v="140.4"/>
    <n v="143.4"/>
    <n v="118.6"/>
    <n v="150.9"/>
    <n v="169.8"/>
    <n v="127.4"/>
    <n v="111.8"/>
    <x v="163"/>
    <n v="129"/>
    <n v="155.1"/>
    <n v="145.6"/>
    <n v="166.7"/>
    <n v="144.30000000000001"/>
    <n v="131.69999999999999"/>
    <n v="142.4"/>
    <n v="149.4"/>
    <n v="130.5"/>
    <n v="137.4"/>
    <n v="140.30000000000001"/>
    <n v="119.6"/>
    <n v="134.30000000000001"/>
    <n v="148.9"/>
    <n v="133.69999999999999"/>
    <n v="133.6"/>
    <n v="142.1"/>
    <n v="140.64166666666665"/>
    <n v="166.7"/>
    <n v="138"/>
    <n v="130.5"/>
    <n v="137.4"/>
    <n v="119.6"/>
    <n v="134.30000000000001"/>
    <x v="0"/>
  </r>
  <r>
    <x v="2"/>
    <x v="6"/>
    <x v="5"/>
    <x v="76"/>
    <n v="138.69999999999999"/>
    <n v="162.1"/>
    <n v="137.80000000000001"/>
    <n v="143.30000000000001"/>
    <n v="122.2"/>
    <n v="146.80000000000001"/>
    <n v="150.5"/>
    <n v="128.30000000000001"/>
    <n v="111"/>
    <x v="164"/>
    <n v="134.19999999999999"/>
    <n v="155.9"/>
    <n v="142.69999999999999"/>
    <n v="164.9"/>
    <n v="148.6"/>
    <n v="140.4"/>
    <n v="147.4"/>
    <n v="149.4"/>
    <n v="141.19999999999999"/>
    <n v="143.80000000000001"/>
    <n v="147.4"/>
    <n v="124.6"/>
    <n v="139.6"/>
    <n v="152.5"/>
    <n v="134.30000000000001"/>
    <n v="138.6"/>
    <n v="142.9"/>
    <n v="139.28333333333333"/>
    <n v="164.9"/>
    <n v="144.5"/>
    <n v="141.19999999999999"/>
    <n v="143.80000000000001"/>
    <n v="124.6"/>
    <n v="139.6"/>
    <x v="0"/>
  </r>
  <r>
    <x v="0"/>
    <x v="6"/>
    <x v="6"/>
    <x v="77"/>
    <n v="138.4"/>
    <n v="164"/>
    <n v="138.4"/>
    <n v="143.9"/>
    <n v="124.4"/>
    <n v="146.4"/>
    <n v="150.1"/>
    <n v="130.6"/>
    <n v="110.8"/>
    <x v="169"/>
    <n v="138.5"/>
    <n v="156.69999999999999"/>
    <n v="143"/>
    <n v="164.5"/>
    <n v="151.6"/>
    <n v="146.6"/>
    <n v="150.9"/>
    <n v="150.6"/>
    <n v="146.80000000000001"/>
    <n v="150"/>
    <n v="152.19999999999999"/>
    <n v="131.19999999999999"/>
    <n v="147.5"/>
    <n v="159.1"/>
    <n v="136.1"/>
    <n v="144.19999999999999"/>
    <n v="144.9"/>
    <n v="140.32499999999999"/>
    <n v="164.5"/>
    <n v="149.1"/>
    <n v="146.80000000000001"/>
    <n v="150"/>
    <n v="131.19999999999999"/>
    <n v="147.5"/>
    <x v="0"/>
  </r>
  <r>
    <x v="1"/>
    <x v="6"/>
    <x v="6"/>
    <x v="77"/>
    <n v="141.4"/>
    <n v="160.19999999999999"/>
    <n v="142.5"/>
    <n v="144.1"/>
    <n v="119.3"/>
    <n v="154.69999999999999"/>
    <n v="180.1"/>
    <n v="128.9"/>
    <n v="111.8"/>
    <x v="170"/>
    <n v="129.5"/>
    <n v="155.6"/>
    <n v="147.69999999999999"/>
    <n v="167.2"/>
    <n v="144.69999999999999"/>
    <n v="131.9"/>
    <n v="142.69999999999999"/>
    <n v="150.6"/>
    <n v="127"/>
    <n v="137.69999999999999"/>
    <n v="140.80000000000001"/>
    <n v="120.6"/>
    <n v="135"/>
    <n v="150.4"/>
    <n v="135.1"/>
    <n v="134.5"/>
    <n v="143.30000000000001"/>
    <n v="142.47499999999999"/>
    <n v="167.2"/>
    <n v="138.30000000000001"/>
    <n v="127"/>
    <n v="137.69999999999999"/>
    <n v="120.6"/>
    <n v="135"/>
    <x v="0"/>
  </r>
  <r>
    <x v="2"/>
    <x v="6"/>
    <x v="6"/>
    <x v="77"/>
    <n v="139.30000000000001"/>
    <n v="162.69999999999999"/>
    <n v="140"/>
    <n v="144"/>
    <n v="122.5"/>
    <n v="150.30000000000001"/>
    <n v="160.30000000000001"/>
    <n v="130"/>
    <n v="111.1"/>
    <x v="169"/>
    <n v="134.69999999999999"/>
    <n v="156.19999999999999"/>
    <n v="144.69999999999999"/>
    <n v="165.2"/>
    <n v="148.9"/>
    <n v="140.5"/>
    <n v="147.6"/>
    <n v="150.6"/>
    <n v="139.30000000000001"/>
    <n v="144.19999999999999"/>
    <n v="147.9"/>
    <n v="125.6"/>
    <n v="140.5"/>
    <n v="154"/>
    <n v="135.69999999999999"/>
    <n v="139.5"/>
    <n v="144.19999999999999"/>
    <n v="141.06666666666666"/>
    <n v="165.2"/>
    <n v="144.69999999999999"/>
    <n v="139.30000000000001"/>
    <n v="144.19999999999999"/>
    <n v="125.6"/>
    <n v="140.5"/>
    <x v="0"/>
  </r>
  <r>
    <x v="0"/>
    <x v="6"/>
    <x v="7"/>
    <x v="78"/>
    <n v="139.19999999999999"/>
    <n v="161.9"/>
    <n v="137.1"/>
    <n v="144.6"/>
    <n v="124.7"/>
    <n v="145.5"/>
    <n v="156.19999999999999"/>
    <n v="131.5"/>
    <n v="111.7"/>
    <x v="171"/>
    <n v="138.5"/>
    <n v="156.9"/>
    <n v="144"/>
    <n v="165.1"/>
    <n v="151.80000000000001"/>
    <n v="146.6"/>
    <n v="151.1"/>
    <n v="151.6"/>
    <n v="146.4"/>
    <n v="150.19999999999999"/>
    <n v="152.69999999999999"/>
    <n v="131.4"/>
    <n v="148"/>
    <n v="159.69999999999999"/>
    <n v="138.80000000000001"/>
    <n v="144.9"/>
    <n v="145.69999999999999"/>
    <n v="140.87500000000003"/>
    <n v="165.1"/>
    <n v="149.19999999999999"/>
    <n v="146.4"/>
    <n v="150.19999999999999"/>
    <n v="131.4"/>
    <n v="148"/>
    <x v="0"/>
  </r>
  <r>
    <x v="1"/>
    <x v="6"/>
    <x v="7"/>
    <x v="78"/>
    <n v="142.1"/>
    <n v="158.30000000000001"/>
    <n v="140.80000000000001"/>
    <n v="144.9"/>
    <n v="119.9"/>
    <n v="153.9"/>
    <n v="189.1"/>
    <n v="129.80000000000001"/>
    <n v="112.7"/>
    <x v="172"/>
    <n v="129.80000000000001"/>
    <n v="156.19999999999999"/>
    <n v="149.1"/>
    <n v="167.9"/>
    <n v="145"/>
    <n v="132.19999999999999"/>
    <n v="143"/>
    <n v="151.6"/>
    <n v="125.5"/>
    <n v="138.1"/>
    <n v="141.5"/>
    <n v="120.8"/>
    <n v="135.4"/>
    <n v="151.5"/>
    <n v="137.80000000000001"/>
    <n v="135.30000000000001"/>
    <n v="144.19999999999999"/>
    <n v="143.33333333333334"/>
    <n v="167.9"/>
    <n v="138.6"/>
    <n v="125.5"/>
    <n v="138.1"/>
    <n v="120.8"/>
    <n v="135.4"/>
    <x v="0"/>
  </r>
  <r>
    <x v="2"/>
    <x v="6"/>
    <x v="7"/>
    <x v="78"/>
    <n v="140.1"/>
    <n v="160.6"/>
    <n v="138.5"/>
    <n v="144.69999999999999"/>
    <n v="122.9"/>
    <n v="149.4"/>
    <n v="167.4"/>
    <n v="130.9"/>
    <n v="112"/>
    <x v="137"/>
    <n v="134.9"/>
    <n v="156.6"/>
    <n v="145.9"/>
    <n v="165.8"/>
    <n v="149.1"/>
    <n v="140.6"/>
    <n v="147.9"/>
    <n v="151.6"/>
    <n v="138.5"/>
    <n v="144.5"/>
    <n v="148.5"/>
    <n v="125.8"/>
    <n v="140.9"/>
    <n v="154.9"/>
    <n v="138.4"/>
    <n v="140.19999999999999"/>
    <n v="145"/>
    <n v="141.71666666666667"/>
    <n v="165.8"/>
    <n v="144.85"/>
    <n v="138.5"/>
    <n v="144.5"/>
    <n v="125.8"/>
    <n v="140.9"/>
    <x v="0"/>
  </r>
  <r>
    <x v="0"/>
    <x v="6"/>
    <x v="8"/>
    <x v="79"/>
    <n v="140.1"/>
    <n v="161.9"/>
    <n v="138.30000000000001"/>
    <n v="145.69999999999999"/>
    <n v="125.1"/>
    <n v="143.80000000000001"/>
    <n v="163.4"/>
    <n v="132.19999999999999"/>
    <n v="112.8"/>
    <x v="173"/>
    <n v="138.5"/>
    <n v="157.19999999999999"/>
    <n v="145.5"/>
    <n v="165.7"/>
    <n v="151.69999999999999"/>
    <n v="146.6"/>
    <n v="151"/>
    <n v="152.19999999999999"/>
    <n v="146.9"/>
    <n v="150.30000000000001"/>
    <n v="153.4"/>
    <n v="131.6"/>
    <n v="148.30000000000001"/>
    <n v="160.19999999999999"/>
    <n v="140.19999999999999"/>
    <n v="145.4"/>
    <n v="146.69999999999999"/>
    <n v="141.93333333333334"/>
    <n v="165.7"/>
    <n v="149.14999999999998"/>
    <n v="146.9"/>
    <n v="150.30000000000001"/>
    <n v="131.6"/>
    <n v="148.30000000000001"/>
    <x v="0"/>
  </r>
  <r>
    <x v="1"/>
    <x v="6"/>
    <x v="8"/>
    <x v="79"/>
    <n v="142.69999999999999"/>
    <n v="158.69999999999999"/>
    <n v="141.6"/>
    <n v="144.9"/>
    <n v="120.8"/>
    <n v="149.80000000000001"/>
    <n v="192.4"/>
    <n v="130.30000000000001"/>
    <n v="114"/>
    <x v="174"/>
    <n v="130"/>
    <n v="156.4"/>
    <n v="149.5"/>
    <n v="168.6"/>
    <n v="145.30000000000001"/>
    <n v="132.19999999999999"/>
    <n v="143.30000000000001"/>
    <n v="152.19999999999999"/>
    <n v="126.6"/>
    <n v="138.30000000000001"/>
    <n v="141.9"/>
    <n v="121.2"/>
    <n v="135.9"/>
    <n v="151.6"/>
    <n v="139"/>
    <n v="135.69999999999999"/>
    <n v="144.69999999999999"/>
    <n v="143.78333333333333"/>
    <n v="168.6"/>
    <n v="138.75"/>
    <n v="126.6"/>
    <n v="138.30000000000001"/>
    <n v="121.2"/>
    <n v="135.9"/>
    <x v="0"/>
  </r>
  <r>
    <x v="2"/>
    <x v="6"/>
    <x v="8"/>
    <x v="79"/>
    <n v="140.9"/>
    <n v="160.80000000000001"/>
    <n v="139.6"/>
    <n v="145.4"/>
    <n v="123.5"/>
    <n v="146.6"/>
    <n v="173.2"/>
    <n v="131.6"/>
    <n v="113.2"/>
    <x v="175"/>
    <n v="135"/>
    <n v="156.80000000000001"/>
    <n v="147"/>
    <n v="166.5"/>
    <n v="149.19999999999999"/>
    <n v="140.6"/>
    <n v="147.9"/>
    <n v="152.19999999999999"/>
    <n v="139.19999999999999"/>
    <n v="144.6"/>
    <n v="149"/>
    <n v="126.1"/>
    <n v="141.30000000000001"/>
    <n v="155.19999999999999"/>
    <n v="139.69999999999999"/>
    <n v="140.69999999999999"/>
    <n v="145.80000000000001"/>
    <n v="142.55833333333331"/>
    <n v="166.5"/>
    <n v="144.89999999999998"/>
    <n v="139.19999999999999"/>
    <n v="144.6"/>
    <n v="126.1"/>
    <n v="141.30000000000001"/>
    <x v="0"/>
  </r>
  <r>
    <x v="0"/>
    <x v="6"/>
    <x v="9"/>
    <x v="80"/>
    <n v="141"/>
    <n v="161.6"/>
    <n v="141.19999999999999"/>
    <n v="146.5"/>
    <n v="125.6"/>
    <n v="145.69999999999999"/>
    <n v="178.8"/>
    <n v="133.1"/>
    <n v="113.6"/>
    <x v="128"/>
    <n v="138.6"/>
    <n v="157.4"/>
    <n v="148.30000000000001"/>
    <n v="166.3"/>
    <n v="151.69999999999999"/>
    <n v="146.69999999999999"/>
    <n v="151"/>
    <n v="153"/>
    <n v="147.69999999999999"/>
    <n v="150.6"/>
    <n v="153.69999999999999"/>
    <n v="131.69999999999999"/>
    <n v="148.69999999999999"/>
    <n v="160.69999999999999"/>
    <n v="140.30000000000001"/>
    <n v="145.69999999999999"/>
    <n v="148.30000000000001"/>
    <n v="144.04999999999998"/>
    <n v="166.3"/>
    <n v="149.19999999999999"/>
    <n v="147.69999999999999"/>
    <n v="150.6"/>
    <n v="131.69999999999999"/>
    <n v="148.69999999999999"/>
    <x v="0"/>
  </r>
  <r>
    <x v="1"/>
    <x v="6"/>
    <x v="9"/>
    <x v="80"/>
    <n v="143.5"/>
    <n v="159.80000000000001"/>
    <n v="144.69999999999999"/>
    <n v="145.6"/>
    <n v="121.1"/>
    <n v="150.6"/>
    <n v="207.2"/>
    <n v="131.19999999999999"/>
    <n v="114.8"/>
    <x v="176"/>
    <n v="130.19999999999999"/>
    <n v="156.80000000000001"/>
    <n v="151.9"/>
    <n v="169.3"/>
    <n v="145.9"/>
    <n v="132.4"/>
    <n v="143.9"/>
    <n v="153"/>
    <n v="128.9"/>
    <n v="138.69999999999999"/>
    <n v="142.4"/>
    <n v="121.5"/>
    <n v="136.19999999999999"/>
    <n v="151.69999999999999"/>
    <n v="139.5"/>
    <n v="136"/>
    <n v="146"/>
    <n v="145.89166666666668"/>
    <n v="169.3"/>
    <n v="139.15"/>
    <n v="128.9"/>
    <n v="138.69999999999999"/>
    <n v="121.5"/>
    <n v="136.19999999999999"/>
    <x v="0"/>
  </r>
  <r>
    <x v="2"/>
    <x v="6"/>
    <x v="9"/>
    <x v="80"/>
    <n v="141.80000000000001"/>
    <n v="161"/>
    <n v="142.6"/>
    <n v="146.19999999999999"/>
    <n v="123.9"/>
    <n v="148"/>
    <n v="188.4"/>
    <n v="132.5"/>
    <n v="114"/>
    <x v="127"/>
    <n v="135.1"/>
    <n v="157.1"/>
    <n v="149.6"/>
    <n v="167.1"/>
    <n v="149.4"/>
    <n v="140.80000000000001"/>
    <n v="148.19999999999999"/>
    <n v="153"/>
    <n v="140.6"/>
    <n v="145"/>
    <n v="149.4"/>
    <n v="126.3"/>
    <n v="141.69999999999999"/>
    <n v="155.4"/>
    <n v="140"/>
    <n v="141"/>
    <n v="147.19999999999999"/>
    <n v="144.66666666666666"/>
    <n v="167.1"/>
    <n v="145.10000000000002"/>
    <n v="140.6"/>
    <n v="145"/>
    <n v="126.3"/>
    <n v="141.69999999999999"/>
    <x v="0"/>
  </r>
  <r>
    <x v="0"/>
    <x v="6"/>
    <x v="10"/>
    <x v="81"/>
    <n v="141.80000000000001"/>
    <n v="163.69999999999999"/>
    <n v="143.80000000000001"/>
    <n v="147.1"/>
    <n v="126"/>
    <n v="146.19999999999999"/>
    <n v="191.4"/>
    <n v="136.19999999999999"/>
    <n v="113.8"/>
    <x v="177"/>
    <n v="138.69999999999999"/>
    <n v="157.69999999999999"/>
    <n v="150.9"/>
    <n v="167.2"/>
    <n v="152.30000000000001"/>
    <n v="147"/>
    <n v="151.5"/>
    <n v="153.5"/>
    <n v="148.4"/>
    <n v="150.9"/>
    <n v="154.30000000000001"/>
    <n v="132.1"/>
    <n v="149.1"/>
    <n v="160.80000000000001"/>
    <n v="140.6"/>
    <n v="146.1"/>
    <n v="149.9"/>
    <n v="146.14166666666668"/>
    <n v="167.2"/>
    <n v="149.65"/>
    <n v="148.4"/>
    <n v="150.9"/>
    <n v="132.1"/>
    <n v="149.1"/>
    <x v="0"/>
  </r>
  <r>
    <x v="1"/>
    <x v="6"/>
    <x v="10"/>
    <x v="81"/>
    <n v="144.1"/>
    <n v="162.4"/>
    <n v="148.4"/>
    <n v="145.9"/>
    <n v="121.5"/>
    <n v="148.80000000000001"/>
    <n v="215.7"/>
    <n v="134.6"/>
    <n v="115"/>
    <x v="178"/>
    <n v="130.5"/>
    <n v="157.19999999999999"/>
    <n v="153.6"/>
    <n v="169.9"/>
    <n v="146.30000000000001"/>
    <n v="132.6"/>
    <n v="144.19999999999999"/>
    <n v="153.5"/>
    <n v="132.19999999999999"/>
    <n v="139.1"/>
    <n v="142.80000000000001"/>
    <n v="121.7"/>
    <n v="136.69999999999999"/>
    <n v="151.80000000000001"/>
    <n v="139.80000000000001"/>
    <n v="136.30000000000001"/>
    <n v="147"/>
    <n v="147.53333333333333"/>
    <n v="169.9"/>
    <n v="139.44999999999999"/>
    <n v="132.19999999999999"/>
    <n v="139.1"/>
    <n v="121.7"/>
    <n v="136.69999999999999"/>
    <x v="0"/>
  </r>
  <r>
    <x v="2"/>
    <x v="6"/>
    <x v="10"/>
    <x v="81"/>
    <n v="142.5"/>
    <n v="163.19999999999999"/>
    <n v="145.6"/>
    <n v="146.69999999999999"/>
    <n v="124.3"/>
    <n v="147.4"/>
    <n v="199.6"/>
    <n v="135.69999999999999"/>
    <n v="114.2"/>
    <x v="179"/>
    <n v="135.30000000000001"/>
    <n v="157.5"/>
    <n v="151.9"/>
    <n v="167.9"/>
    <n v="149.9"/>
    <n v="141"/>
    <n v="148.6"/>
    <n v="153.5"/>
    <n v="142.30000000000001"/>
    <n v="145.30000000000001"/>
    <n v="149.9"/>
    <n v="126.6"/>
    <n v="142.1"/>
    <n v="155.5"/>
    <n v="140.30000000000001"/>
    <n v="141.30000000000001"/>
    <n v="148.6"/>
    <n v="146.58333333333334"/>
    <n v="167.9"/>
    <n v="145.44999999999999"/>
    <n v="142.30000000000001"/>
    <n v="145.30000000000001"/>
    <n v="126.6"/>
    <n v="142.1"/>
    <x v="0"/>
  </r>
  <r>
    <x v="0"/>
    <x v="6"/>
    <x v="11"/>
    <x v="82"/>
    <n v="142.80000000000001"/>
    <n v="165.3"/>
    <n v="149.5"/>
    <n v="148.69999999999999"/>
    <n v="127.5"/>
    <n v="144.30000000000001"/>
    <n v="209.5"/>
    <n v="138.80000000000001"/>
    <n v="113.6"/>
    <x v="180"/>
    <n v="139.30000000000001"/>
    <n v="158.30000000000001"/>
    <n v="154.30000000000001"/>
    <n v="167.8"/>
    <n v="152.6"/>
    <n v="147.30000000000001"/>
    <n v="151.9"/>
    <n v="152.80000000000001"/>
    <n v="149.9"/>
    <n v="151.19999999999999"/>
    <n v="154.80000000000001"/>
    <n v="135"/>
    <n v="149.5"/>
    <n v="161.1"/>
    <n v="140.6"/>
    <n v="147.1"/>
    <n v="152.30000000000001"/>
    <n v="148.89166666666662"/>
    <n v="167.8"/>
    <n v="149.94999999999999"/>
    <n v="149.9"/>
    <n v="151.19999999999999"/>
    <n v="135"/>
    <n v="149.5"/>
    <x v="0"/>
  </r>
  <r>
    <x v="1"/>
    <x v="6"/>
    <x v="11"/>
    <x v="82"/>
    <n v="144.9"/>
    <n v="164.5"/>
    <n v="153.69999999999999"/>
    <n v="147.5"/>
    <n v="122.7"/>
    <n v="147.19999999999999"/>
    <n v="231.5"/>
    <n v="137.19999999999999"/>
    <n v="114.7"/>
    <x v="181"/>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n v="150.03333333333333"/>
    <n v="170.4"/>
    <n v="139.80000000000001"/>
    <n v="133.6"/>
    <n v="139.80000000000001"/>
    <n v="125.2"/>
    <n v="136.80000000000001"/>
    <x v="0"/>
  </r>
  <r>
    <x v="2"/>
    <x v="6"/>
    <x v="11"/>
    <x v="82"/>
    <n v="143.5"/>
    <n v="165"/>
    <n v="151.1"/>
    <n v="148.30000000000001"/>
    <n v="125.7"/>
    <n v="145.69999999999999"/>
    <n v="217"/>
    <n v="138.30000000000001"/>
    <n v="114"/>
    <x v="182"/>
    <n v="135.80000000000001"/>
    <n v="158"/>
    <n v="155"/>
    <n v="168.5"/>
    <n v="150.30000000000001"/>
    <n v="141.30000000000001"/>
    <n v="149"/>
    <n v="152.80000000000001"/>
    <n v="143.69999999999999"/>
    <n v="145.80000000000001"/>
    <n v="150.4"/>
    <n v="129.80000000000001"/>
    <n v="142.30000000000001"/>
    <n v="155.69999999999999"/>
    <n v="140.4"/>
    <n v="142.5"/>
    <n v="150.4"/>
    <n v="149.25833333333335"/>
    <n v="168.5"/>
    <n v="145.80000000000001"/>
    <n v="143.69999999999999"/>
    <n v="145.80000000000001"/>
    <n v="129.80000000000001"/>
    <n v="142.30000000000001"/>
    <x v="0"/>
  </r>
  <r>
    <x v="0"/>
    <x v="7"/>
    <x v="0"/>
    <x v="83"/>
    <n v="143.69999999999999"/>
    <n v="167.3"/>
    <n v="153.5"/>
    <n v="150.5"/>
    <n v="132"/>
    <n v="142.19999999999999"/>
    <n v="191.5"/>
    <n v="141.1"/>
    <n v="113.8"/>
    <x v="183"/>
    <n v="139.69999999999999"/>
    <n v="158.69999999999999"/>
    <n v="153"/>
    <n v="168.6"/>
    <n v="152.80000000000001"/>
    <n v="147.4"/>
    <n v="152.1"/>
    <n v="153.9"/>
    <n v="150.4"/>
    <n v="151.69999999999999"/>
    <n v="155.69999999999999"/>
    <n v="136.30000000000001"/>
    <n v="150.1"/>
    <n v="161.69999999999999"/>
    <n v="142.5"/>
    <n v="148.1"/>
    <n v="151.9"/>
    <n v="148.79999999999998"/>
    <n v="168.6"/>
    <n v="150.10000000000002"/>
    <n v="150.4"/>
    <n v="151.69999999999999"/>
    <n v="136.30000000000001"/>
    <n v="150.1"/>
    <x v="0"/>
  </r>
  <r>
    <x v="1"/>
    <x v="7"/>
    <x v="0"/>
    <x v="83"/>
    <n v="145.6"/>
    <n v="167.6"/>
    <n v="157"/>
    <n v="149.30000000000001"/>
    <n v="126.3"/>
    <n v="144.4"/>
    <n v="207.8"/>
    <n v="139.1"/>
    <n v="114.8"/>
    <x v="184"/>
    <n v="131.1"/>
    <n v="158.5"/>
    <n v="154.4"/>
    <n v="170.8"/>
    <n v="147"/>
    <n v="133.19999999999999"/>
    <n v="144.9"/>
    <n v="153.9"/>
    <n v="135.1"/>
    <n v="140.1"/>
    <n v="143.80000000000001"/>
    <n v="126.1"/>
    <n v="137.19999999999999"/>
    <n v="152.1"/>
    <n v="142.1"/>
    <n v="138.4"/>
    <n v="148.19999999999999"/>
    <n v="149.24999999999997"/>
    <n v="170.8"/>
    <n v="140.1"/>
    <n v="135.1"/>
    <n v="140.1"/>
    <n v="126.1"/>
    <n v="137.19999999999999"/>
    <x v="0"/>
  </r>
  <r>
    <x v="2"/>
    <x v="7"/>
    <x v="0"/>
    <x v="83"/>
    <n v="144.30000000000001"/>
    <n v="167.4"/>
    <n v="154.9"/>
    <n v="150.1"/>
    <n v="129.9"/>
    <n v="143.19999999999999"/>
    <n v="197"/>
    <n v="140.4"/>
    <n v="114.1"/>
    <x v="185"/>
    <n v="136.1"/>
    <n v="158.6"/>
    <n v="153.5"/>
    <n v="169.2"/>
    <n v="150.5"/>
    <n v="141.5"/>
    <n v="149.19999999999999"/>
    <n v="153.9"/>
    <n v="144.6"/>
    <n v="146.19999999999999"/>
    <n v="151.19999999999999"/>
    <n v="130.9"/>
    <n v="142.80000000000001"/>
    <n v="156.1"/>
    <n v="142.30000000000001"/>
    <n v="143.4"/>
    <n v="150.19999999999999"/>
    <n v="148.90833333333333"/>
    <n v="169.2"/>
    <n v="146"/>
    <n v="144.6"/>
    <n v="146.19999999999999"/>
    <n v="130.9"/>
    <n v="142.80000000000001"/>
    <x v="0"/>
  </r>
  <r>
    <x v="0"/>
    <x v="7"/>
    <x v="1"/>
    <x v="84"/>
    <n v="144.19999999999999"/>
    <n v="167.5"/>
    <n v="150.9"/>
    <n v="150.9"/>
    <n v="133.69999999999999"/>
    <n v="140.69999999999999"/>
    <n v="165.1"/>
    <n v="141.80000000000001"/>
    <n v="113.1"/>
    <x v="186"/>
    <n v="140.1"/>
    <n v="159.19999999999999"/>
    <n v="149.80000000000001"/>
    <n v="169.4"/>
    <n v="153"/>
    <n v="147.5"/>
    <n v="152.30000000000001"/>
    <n v="154.80000000000001"/>
    <n v="152.30000000000001"/>
    <n v="151.80000000000001"/>
    <n v="156.19999999999999"/>
    <n v="136"/>
    <n v="150.4"/>
    <n v="161.9"/>
    <n v="143.4"/>
    <n v="148.4"/>
    <n v="150.4"/>
    <n v="146.66666666666666"/>
    <n v="169.4"/>
    <n v="150.25"/>
    <n v="152.30000000000001"/>
    <n v="151.80000000000001"/>
    <n v="136"/>
    <n v="150.4"/>
    <x v="0"/>
  </r>
  <r>
    <x v="1"/>
    <x v="7"/>
    <x v="1"/>
    <x v="84"/>
    <n v="146.19999999999999"/>
    <n v="167.6"/>
    <n v="153.1"/>
    <n v="150.69999999999999"/>
    <n v="127.4"/>
    <n v="143.1"/>
    <n v="181.7"/>
    <n v="139.6"/>
    <n v="114.6"/>
    <x v="187"/>
    <n v="131.5"/>
    <n v="159"/>
    <n v="151.69999999999999"/>
    <n v="172"/>
    <n v="147.30000000000001"/>
    <n v="133.5"/>
    <n v="145.19999999999999"/>
    <n v="154.80000000000001"/>
    <n v="138.9"/>
    <n v="140.4"/>
    <n v="144.4"/>
    <n v="125.2"/>
    <n v="137.69999999999999"/>
    <n v="152.19999999999999"/>
    <n v="143.5"/>
    <n v="138.4"/>
    <n v="147.69999999999999"/>
    <n v="147.07499999999999"/>
    <n v="172"/>
    <n v="140.4"/>
    <n v="138.9"/>
    <n v="140.4"/>
    <n v="125.2"/>
    <n v="137.69999999999999"/>
    <x v="0"/>
  </r>
  <r>
    <x v="2"/>
    <x v="7"/>
    <x v="1"/>
    <x v="84"/>
    <n v="144.80000000000001"/>
    <n v="167.5"/>
    <n v="151.80000000000001"/>
    <n v="150.80000000000001"/>
    <n v="131.4"/>
    <n v="141.80000000000001"/>
    <n v="170.7"/>
    <n v="141.1"/>
    <n v="113.6"/>
    <x v="188"/>
    <n v="136.5"/>
    <n v="159.1"/>
    <n v="150.5"/>
    <n v="170.1"/>
    <n v="150.80000000000001"/>
    <n v="141.69999999999999"/>
    <n v="149.5"/>
    <n v="154.80000000000001"/>
    <n v="147.19999999999999"/>
    <n v="146.4"/>
    <n v="151.69999999999999"/>
    <n v="130.30000000000001"/>
    <n v="143.19999999999999"/>
    <n v="156.19999999999999"/>
    <n v="143.4"/>
    <n v="143.6"/>
    <n v="149.1"/>
    <n v="146.75833333333333"/>
    <n v="170.1"/>
    <n v="146.25"/>
    <n v="147.19999999999999"/>
    <n v="146.4"/>
    <n v="130.30000000000001"/>
    <n v="143.19999999999999"/>
    <x v="0"/>
  </r>
  <r>
    <x v="0"/>
    <x v="7"/>
    <x v="2"/>
    <x v="85"/>
    <n v="144.4"/>
    <n v="166.8"/>
    <n v="147.6"/>
    <n v="151.69999999999999"/>
    <n v="133.30000000000001"/>
    <n v="141.80000000000001"/>
    <n v="152.30000000000001"/>
    <n v="141.80000000000001"/>
    <n v="112.6"/>
    <x v="189"/>
    <n v="140.1"/>
    <n v="160"/>
    <n v="148.19999999999999"/>
    <n v="170.5"/>
    <n v="153.4"/>
    <n v="147.6"/>
    <n v="152.5"/>
    <n v="154.5"/>
    <n v="153.4"/>
    <n v="151.5"/>
    <n v="156.69999999999999"/>
    <n v="135.80000000000001"/>
    <n v="151.19999999999999"/>
    <n v="161.19999999999999"/>
    <n v="145.1"/>
    <n v="148.6"/>
    <n v="149.80000000000001"/>
    <n v="145.5333333333333"/>
    <n v="170.5"/>
    <n v="150.5"/>
    <n v="153.4"/>
    <n v="151.5"/>
    <n v="135.80000000000001"/>
    <n v="151.19999999999999"/>
    <x v="1"/>
  </r>
  <r>
    <x v="1"/>
    <x v="7"/>
    <x v="2"/>
    <x v="85"/>
    <n v="146.5"/>
    <n v="167.5"/>
    <n v="148.9"/>
    <n v="151.1"/>
    <n v="127.5"/>
    <n v="143.30000000000001"/>
    <n v="167"/>
    <n v="139.69999999999999"/>
    <n v="114.4"/>
    <x v="190"/>
    <n v="131.9"/>
    <n v="159.1"/>
    <n v="150.1"/>
    <n v="173.3"/>
    <n v="147.69999999999999"/>
    <n v="133.80000000000001"/>
    <n v="145.6"/>
    <n v="154.5"/>
    <n v="141.4"/>
    <n v="140.80000000000001"/>
    <n v="145"/>
    <n v="124.6"/>
    <n v="137.9"/>
    <n v="152.5"/>
    <n v="145.30000000000001"/>
    <n v="138.69999999999999"/>
    <n v="147.30000000000001"/>
    <n v="145.70000000000002"/>
    <n v="173.3"/>
    <n v="140.75"/>
    <n v="141.4"/>
    <n v="140.80000000000001"/>
    <n v="124.6"/>
    <n v="137.9"/>
    <x v="1"/>
  </r>
  <r>
    <x v="2"/>
    <x v="7"/>
    <x v="2"/>
    <x v="85"/>
    <n v="145.1"/>
    <n v="167"/>
    <n v="148.1"/>
    <n v="151.5"/>
    <n v="131.19999999999999"/>
    <n v="142.5"/>
    <n v="157.30000000000001"/>
    <n v="141.1"/>
    <n v="113.2"/>
    <x v="191"/>
    <n v="136.69999999999999"/>
    <n v="159.6"/>
    <n v="148.9"/>
    <n v="171.2"/>
    <n v="151.19999999999999"/>
    <n v="141.9"/>
    <n v="149.80000000000001"/>
    <n v="154.5"/>
    <n v="148.9"/>
    <n v="146.4"/>
    <n v="152.30000000000001"/>
    <n v="129.9"/>
    <n v="143.69999999999999"/>
    <n v="156.1"/>
    <n v="145.19999999999999"/>
    <n v="143.80000000000001"/>
    <n v="148.6"/>
    <n v="145.54166666666666"/>
    <n v="171.2"/>
    <n v="146.55000000000001"/>
    <n v="148.9"/>
    <n v="146.4"/>
    <n v="129.9"/>
    <n v="143.69999999999999"/>
    <x v="1"/>
  </r>
  <r>
    <x v="0"/>
    <x v="7"/>
    <x v="3"/>
    <x v="86"/>
    <n v="147.19999999999999"/>
    <n v="174.63"/>
    <n v="146.9"/>
    <n v="155.6"/>
    <n v="137.1"/>
    <n v="147.30000000000001"/>
    <n v="162.69999999999999"/>
    <n v="150.19999999999999"/>
    <n v="119.8"/>
    <x v="192"/>
    <n v="139.19999999999999"/>
    <n v="160.6"/>
    <n v="150.1"/>
    <n v="174.47"/>
    <n v="153.83000000000001"/>
    <n v="148.4"/>
    <n v="153.03"/>
    <n v="155.6"/>
    <n v="148.4"/>
    <n v="151.57"/>
    <n v="154.30000000000001"/>
    <n v="137.66999999999999"/>
    <n v="151.87"/>
    <n v="161.4"/>
    <n v="147.13333333333333"/>
    <n v="149.63333333333333"/>
    <n v="150.76666666666668"/>
    <n v="149.99416666666667"/>
    <n v="174.47"/>
    <n v="151.11500000000001"/>
    <n v="148.4"/>
    <n v="151.57"/>
    <n v="137.66999999999999"/>
    <n v="151.87"/>
    <x v="2"/>
  </r>
  <r>
    <x v="1"/>
    <x v="7"/>
    <x v="3"/>
    <x v="86"/>
    <n v="151.80000000000001"/>
    <n v="177.33"/>
    <n v="151.9"/>
    <n v="155.5"/>
    <n v="131.6"/>
    <n v="152.9"/>
    <n v="180"/>
    <n v="150.80000000000001"/>
    <n v="121.2"/>
    <x v="189"/>
    <n v="133.5"/>
    <n v="159.97"/>
    <n v="153.5"/>
    <n v="177.77"/>
    <n v="148.16999999999999"/>
    <n v="134.72999999999999"/>
    <n v="146.13"/>
    <n v="155.6"/>
    <n v="137.1"/>
    <n v="140.66999999999999"/>
    <n v="144.80000000000001"/>
    <n v="126.17"/>
    <n v="140.1"/>
    <n v="152.5"/>
    <n v="147.6"/>
    <n v="139.79999999999998"/>
    <n v="148.46666666666667"/>
    <n v="151.70833333333334"/>
    <n v="177.77"/>
    <n v="141.44999999999999"/>
    <n v="137.1"/>
    <n v="140.66999999999999"/>
    <n v="126.17"/>
    <n v="140.1"/>
    <x v="2"/>
  </r>
  <r>
    <x v="2"/>
    <x v="7"/>
    <x v="3"/>
    <x v="86"/>
    <n v="148.69999999999999"/>
    <n v="175.57"/>
    <n v="148.80000000000001"/>
    <n v="155.6"/>
    <n v="135.1"/>
    <n v="149.9"/>
    <n v="168.6"/>
    <n v="150.4"/>
    <n v="120.3"/>
    <x v="193"/>
    <n v="136.80000000000001"/>
    <n v="160.33000000000001"/>
    <n v="151.4"/>
    <n v="175.3"/>
    <n v="151.63"/>
    <n v="142.72999999999999"/>
    <n v="150.33000000000001"/>
    <n v="155.6"/>
    <n v="144.1"/>
    <n v="146.4"/>
    <n v="150.69999999999999"/>
    <n v="131.6"/>
    <n v="145.22999999999999"/>
    <n v="156.19999999999999"/>
    <n v="147.33333333333331"/>
    <n v="144.86666666666667"/>
    <n v="149.66666666666666"/>
    <n v="150.6"/>
    <n v="175.3"/>
    <n v="147.18"/>
    <n v="144.1"/>
    <n v="146.4"/>
    <n v="131.6"/>
    <n v="145.22999999999999"/>
    <x v="2"/>
  </r>
  <r>
    <x v="0"/>
    <x v="7"/>
    <x v="4"/>
    <x v="87"/>
    <n v="147.69999999999999"/>
    <n v="182.47"/>
    <n v="148.15"/>
    <n v="154.44999999999999"/>
    <n v="137.65"/>
    <n v="145.25"/>
    <n v="155.80000000000001"/>
    <n v="150.25"/>
    <n v="116.5"/>
    <x v="194"/>
    <n v="140.65"/>
    <n v="161.19999999999999"/>
    <n v="151.19999999999999"/>
    <n v="178.43"/>
    <n v="154.27000000000001"/>
    <n v="149.19999999999999"/>
    <n v="153.57"/>
    <n v="155.15"/>
    <n v="146.65"/>
    <n v="151.63"/>
    <n v="156.25"/>
    <n v="139.53"/>
    <n v="154.07"/>
    <n v="161.6"/>
    <n v="149.16666666666666"/>
    <n v="150.66666666666666"/>
    <n v="151.73333333333335"/>
    <n v="149.94333333333336"/>
    <n v="178.43"/>
    <n v="151.73500000000001"/>
    <n v="146.65"/>
    <n v="151.63"/>
    <n v="139.53"/>
    <n v="154.07"/>
    <x v="2"/>
  </r>
  <r>
    <x v="1"/>
    <x v="7"/>
    <x v="4"/>
    <x v="87"/>
    <n v="152.25"/>
    <n v="187.17"/>
    <n v="153.25"/>
    <n v="154.44999999999999"/>
    <n v="132.25"/>
    <n v="152.35"/>
    <n v="175.6"/>
    <n v="151.4"/>
    <n v="118.75"/>
    <x v="195"/>
    <n v="134.55000000000001"/>
    <n v="160.83000000000001"/>
    <n v="155.25"/>
    <n v="182.23"/>
    <n v="148.63"/>
    <n v="135.66999999999999"/>
    <n v="146.66999999999999"/>
    <n v="155.15"/>
    <n v="137.1"/>
    <n v="140.53"/>
    <n v="146.44999999999999"/>
    <n v="127.73"/>
    <n v="142.30000000000001"/>
    <n v="152.5"/>
    <n v="149.89999999999998"/>
    <n v="140.89999999999998"/>
    <n v="149.63333333333333"/>
    <n v="152.4375"/>
    <n v="182.23"/>
    <n v="142.14999999999998"/>
    <n v="137.1"/>
    <n v="140.53"/>
    <n v="127.73"/>
    <n v="142.30000000000001"/>
    <x v="2"/>
  </r>
  <r>
    <x v="2"/>
    <x v="7"/>
    <x v="4"/>
    <x v="87"/>
    <n v="149.15"/>
    <n v="184.13"/>
    <n v="150.1"/>
    <n v="154.44999999999999"/>
    <n v="135.69999999999999"/>
    <n v="148.55000000000001"/>
    <n v="162.55000000000001"/>
    <n v="150.65"/>
    <n v="117.25"/>
    <x v="196"/>
    <n v="138.1"/>
    <n v="161.07"/>
    <n v="152.69999999999999"/>
    <n v="179.4"/>
    <n v="152.07"/>
    <n v="143.57"/>
    <n v="150.87"/>
    <n v="155.15"/>
    <n v="143"/>
    <n v="146.4"/>
    <n v="152.55000000000001"/>
    <n v="133.30000000000001"/>
    <n v="146.77000000000001"/>
    <n v="156.27000000000001"/>
    <n v="149.46666666666664"/>
    <n v="145.93333333333334"/>
    <n v="150.73333333333332"/>
    <n v="150.83333333333331"/>
    <n v="179.4"/>
    <n v="147.82"/>
    <n v="143"/>
    <n v="146.4"/>
    <n v="133.30000000000001"/>
    <n v="146.77000000000001"/>
    <x v="2"/>
  </r>
  <r>
    <x v="0"/>
    <x v="7"/>
    <x v="5"/>
    <x v="88"/>
    <n v="148.19999999999999"/>
    <n v="190.3"/>
    <n v="149.4"/>
    <n v="153.30000000000001"/>
    <n v="138.19999999999999"/>
    <n v="143.19999999999999"/>
    <n v="148.9"/>
    <n v="150.30000000000001"/>
    <n v="113.2"/>
    <x v="197"/>
    <n v="142.1"/>
    <n v="161.80000000000001"/>
    <n v="152.30000000000001"/>
    <n v="182.4"/>
    <n v="154.69999999999999"/>
    <n v="150"/>
    <n v="154.1"/>
    <n v="154.69999999999999"/>
    <n v="144.9"/>
    <n v="151.69999999999999"/>
    <n v="158.19999999999999"/>
    <n v="141.4"/>
    <n v="153.19999999999999"/>
    <n v="161.80000000000001"/>
    <n v="151.19999999999999"/>
    <n v="151.69999999999999"/>
    <n v="152.69999999999999"/>
    <n v="149.89166666666668"/>
    <n v="182.4"/>
    <n v="152.35"/>
    <n v="144.9"/>
    <n v="151.69999999999999"/>
    <n v="141.4"/>
    <n v="153.19999999999999"/>
    <x v="3"/>
  </r>
  <r>
    <x v="1"/>
    <x v="7"/>
    <x v="5"/>
    <x v="88"/>
    <n v="152.69999999999999"/>
    <n v="197"/>
    <n v="154.6"/>
    <n v="153.4"/>
    <n v="132.9"/>
    <n v="151.80000000000001"/>
    <n v="171.2"/>
    <n v="152"/>
    <n v="116.3"/>
    <x v="198"/>
    <n v="135.6"/>
    <n v="161.69999999999999"/>
    <n v="157"/>
    <n v="186.7"/>
    <n v="149.1"/>
    <n v="136.6"/>
    <n v="147.19999999999999"/>
    <n v="154.69999999999999"/>
    <n v="137.1"/>
    <n v="140.4"/>
    <n v="148.1"/>
    <n v="129.30000000000001"/>
    <n v="144.5"/>
    <n v="152.5"/>
    <n v="152.19999999999999"/>
    <n v="142"/>
    <n v="150.80000000000001"/>
    <n v="153.16666666666666"/>
    <n v="186.7"/>
    <n v="142.85"/>
    <n v="137.1"/>
    <n v="140.4"/>
    <n v="129.30000000000001"/>
    <n v="144.5"/>
    <x v="3"/>
  </r>
  <r>
    <x v="2"/>
    <x v="7"/>
    <x v="5"/>
    <x v="88"/>
    <n v="149.6"/>
    <n v="192.7"/>
    <n v="151.4"/>
    <n v="153.30000000000001"/>
    <n v="136.30000000000001"/>
    <n v="147.19999999999999"/>
    <n v="156.5"/>
    <n v="150.9"/>
    <n v="114.2"/>
    <x v="199"/>
    <n v="139.4"/>
    <n v="161.80000000000001"/>
    <n v="154"/>
    <n v="183.5"/>
    <n v="152.5"/>
    <n v="144.4"/>
    <n v="151.4"/>
    <n v="154.69999999999999"/>
    <n v="141.9"/>
    <n v="146.4"/>
    <n v="154.4"/>
    <n v="135"/>
    <n v="148.30000000000001"/>
    <n v="156.4"/>
    <n v="151.6"/>
    <n v="147"/>
    <n v="151.80000000000001"/>
    <n v="151.06666666666669"/>
    <n v="183.5"/>
    <n v="148.44999999999999"/>
    <n v="141.9"/>
    <n v="146.4"/>
    <n v="135"/>
    <n v="148.30000000000001"/>
    <x v="3"/>
  </r>
  <r>
    <x v="0"/>
    <x v="7"/>
    <x v="6"/>
    <x v="89"/>
    <n v="148.19999999999999"/>
    <n v="190.3"/>
    <n v="149.4"/>
    <n v="153.30000000000001"/>
    <n v="138.19999999999999"/>
    <n v="143.19999999999999"/>
    <n v="148.9"/>
    <n v="150.30000000000001"/>
    <n v="113.2"/>
    <x v="197"/>
    <n v="142.1"/>
    <n v="161.80000000000001"/>
    <n v="152.30000000000001"/>
    <n v="182.4"/>
    <n v="154.69999999999999"/>
    <n v="150"/>
    <n v="154.1"/>
    <n v="154.69999999999999"/>
    <n v="144.9"/>
    <n v="151.69999999999999"/>
    <n v="158.19999999999999"/>
    <n v="141.4"/>
    <n v="153.19999999999999"/>
    <n v="161.80000000000001"/>
    <n v="151.19999999999999"/>
    <n v="151.69999999999999"/>
    <n v="152.69999999999999"/>
    <n v="149.89166666666668"/>
    <n v="182.4"/>
    <n v="152.35"/>
    <n v="144.9"/>
    <n v="151.69999999999999"/>
    <n v="141.4"/>
    <n v="153.19999999999999"/>
    <x v="3"/>
  </r>
  <r>
    <x v="1"/>
    <x v="7"/>
    <x v="6"/>
    <x v="89"/>
    <n v="152.69999999999999"/>
    <n v="197"/>
    <n v="154.6"/>
    <n v="153.4"/>
    <n v="132.9"/>
    <n v="151.80000000000001"/>
    <n v="171.2"/>
    <n v="152"/>
    <n v="116.3"/>
    <x v="198"/>
    <n v="135.6"/>
    <n v="161.69999999999999"/>
    <n v="157"/>
    <n v="186.7"/>
    <n v="149.1"/>
    <n v="136.6"/>
    <n v="147.19999999999999"/>
    <n v="154.69999999999999"/>
    <n v="137.1"/>
    <n v="140.4"/>
    <n v="148.1"/>
    <n v="129.30000000000001"/>
    <n v="144.5"/>
    <n v="152.5"/>
    <n v="152.19999999999999"/>
    <n v="142"/>
    <n v="150.80000000000001"/>
    <n v="153.16666666666666"/>
    <n v="186.7"/>
    <n v="142.85"/>
    <n v="137.1"/>
    <n v="140.4"/>
    <n v="129.30000000000001"/>
    <n v="144.5"/>
    <x v="3"/>
  </r>
  <r>
    <x v="2"/>
    <x v="7"/>
    <x v="6"/>
    <x v="89"/>
    <n v="149.6"/>
    <n v="192.7"/>
    <n v="151.4"/>
    <n v="153.30000000000001"/>
    <n v="136.30000000000001"/>
    <n v="147.19999999999999"/>
    <n v="156.5"/>
    <n v="150.9"/>
    <n v="114.2"/>
    <x v="199"/>
    <n v="139.4"/>
    <n v="161.80000000000001"/>
    <n v="154"/>
    <n v="183.5"/>
    <n v="152.5"/>
    <n v="144.4"/>
    <n v="151.4"/>
    <n v="154.69999999999999"/>
    <n v="141.9"/>
    <n v="146.4"/>
    <n v="154.4"/>
    <n v="135"/>
    <n v="148.30000000000001"/>
    <n v="156.4"/>
    <n v="151.6"/>
    <n v="147"/>
    <n v="151.80000000000001"/>
    <n v="151.06666666666669"/>
    <n v="183.5"/>
    <n v="148.44999999999999"/>
    <n v="141.9"/>
    <n v="146.4"/>
    <n v="135"/>
    <n v="148.30000000000001"/>
    <x v="3"/>
  </r>
  <r>
    <x v="0"/>
    <x v="7"/>
    <x v="7"/>
    <x v="90"/>
    <n v="147.6"/>
    <n v="187.2"/>
    <n v="148.4"/>
    <n v="153.30000000000001"/>
    <n v="139.80000000000001"/>
    <n v="146.9"/>
    <n v="171"/>
    <n v="149.9"/>
    <n v="114.2"/>
    <x v="200"/>
    <n v="143.5"/>
    <n v="161.5"/>
    <n v="155.30000000000001"/>
    <n v="180.9"/>
    <n v="155.1"/>
    <n v="149.30000000000001"/>
    <n v="154.30000000000001"/>
    <n v="155.5"/>
    <n v="145.80000000000001"/>
    <n v="151.9"/>
    <n v="158.80000000000001"/>
    <n v="143.6"/>
    <n v="152.19999999999999"/>
    <n v="162.69999999999999"/>
    <n v="153.6"/>
    <n v="153"/>
    <n v="154.69999999999999"/>
    <n v="151.94166666666666"/>
    <n v="180.9"/>
    <n v="152.19999999999999"/>
    <n v="145.80000000000001"/>
    <n v="151.9"/>
    <n v="143.6"/>
    <n v="152.19999999999999"/>
    <x v="3"/>
  </r>
  <r>
    <x v="1"/>
    <x v="7"/>
    <x v="7"/>
    <x v="90"/>
    <n v="151.6"/>
    <n v="197.8"/>
    <n v="154.5"/>
    <n v="153.4"/>
    <n v="133.4"/>
    <n v="154.5"/>
    <n v="191.9"/>
    <n v="151.30000000000001"/>
    <n v="116.8"/>
    <x v="200"/>
    <n v="136.5"/>
    <n v="163.30000000000001"/>
    <n v="159.9"/>
    <n v="187.2"/>
    <n v="150"/>
    <n v="135.19999999999999"/>
    <n v="147.80000000000001"/>
    <n v="155.5"/>
    <n v="138.30000000000001"/>
    <n v="144.5"/>
    <n v="148.69999999999999"/>
    <n v="133.9"/>
    <n v="141.19999999999999"/>
    <n v="155.5"/>
    <n v="155.19999999999999"/>
    <n v="144.80000000000001"/>
    <n v="152.9"/>
    <n v="155.41666666666666"/>
    <n v="187.2"/>
    <n v="142.6"/>
    <n v="138.30000000000001"/>
    <n v="144.5"/>
    <n v="133.9"/>
    <n v="141.19999999999999"/>
    <x v="3"/>
  </r>
  <r>
    <x v="2"/>
    <x v="7"/>
    <x v="7"/>
    <x v="90"/>
    <n v="148.9"/>
    <n v="190.9"/>
    <n v="150.80000000000001"/>
    <n v="153.30000000000001"/>
    <n v="137.4"/>
    <n v="150.4"/>
    <n v="178.1"/>
    <n v="150.4"/>
    <n v="115.1"/>
    <x v="200"/>
    <n v="140.6"/>
    <n v="162.30000000000001"/>
    <n v="157"/>
    <n v="182.6"/>
    <n v="153.1"/>
    <n v="143.4"/>
    <n v="151.69999999999999"/>
    <n v="155.5"/>
    <n v="143"/>
    <n v="148.4"/>
    <n v="155"/>
    <n v="138.5"/>
    <n v="146"/>
    <n v="158.5"/>
    <n v="154.30000000000001"/>
    <n v="149"/>
    <n v="153.9"/>
    <n v="153.18333333333331"/>
    <n v="182.6"/>
    <n v="148.25"/>
    <n v="143"/>
    <n v="148.4"/>
    <n v="138.5"/>
    <n v="146"/>
    <x v="3"/>
  </r>
  <r>
    <x v="0"/>
    <x v="7"/>
    <x v="8"/>
    <x v="91"/>
    <n v="146.9"/>
    <n v="183.9"/>
    <n v="149.5"/>
    <n v="153.4"/>
    <n v="140.4"/>
    <n v="147"/>
    <n v="178.8"/>
    <n v="149.30000000000001"/>
    <n v="115.1"/>
    <x v="200"/>
    <n v="145.4"/>
    <n v="161.6"/>
    <n v="156.1"/>
    <n v="182.9"/>
    <n v="155.4"/>
    <n v="149.9"/>
    <n v="154.6"/>
    <n v="156.30000000000001"/>
    <n v="146.4"/>
    <n v="151.6"/>
    <n v="159.1"/>
    <n v="144.6"/>
    <n v="152.80000000000001"/>
    <n v="161.1"/>
    <n v="157.4"/>
    <n v="153.69999999999999"/>
    <n v="155.4"/>
    <n v="152.60833333333332"/>
    <n v="182.9"/>
    <n v="152.65"/>
    <n v="146.4"/>
    <n v="151.6"/>
    <n v="144.6"/>
    <n v="152.80000000000001"/>
    <x v="3"/>
  </r>
  <r>
    <x v="1"/>
    <x v="7"/>
    <x v="8"/>
    <x v="91"/>
    <n v="151.5"/>
    <n v="193.1"/>
    <n v="157.30000000000001"/>
    <n v="153.9"/>
    <n v="134.4"/>
    <n v="155.4"/>
    <n v="202"/>
    <n v="150.80000000000001"/>
    <n v="118.9"/>
    <x v="201"/>
    <n v="137.69999999999999"/>
    <n v="164.4"/>
    <n v="161.30000000000001"/>
    <n v="188.7"/>
    <n v="150.19999999999999"/>
    <n v="136.30000000000001"/>
    <n v="148.1"/>
    <n v="156.30000000000001"/>
    <n v="137.19999999999999"/>
    <n v="145.4"/>
    <n v="150"/>
    <n v="135.1"/>
    <n v="141.80000000000001"/>
    <n v="154.9"/>
    <n v="159.80000000000001"/>
    <n v="146"/>
    <n v="154"/>
    <n v="156.69166666666669"/>
    <n v="188.7"/>
    <n v="143.25"/>
    <n v="137.19999999999999"/>
    <n v="145.4"/>
    <n v="135.1"/>
    <n v="141.80000000000001"/>
    <x v="3"/>
  </r>
  <r>
    <x v="2"/>
    <x v="7"/>
    <x v="8"/>
    <x v="91"/>
    <n v="148.4"/>
    <n v="187.1"/>
    <n v="152.5"/>
    <n v="153.6"/>
    <n v="138.19999999999999"/>
    <n v="150.9"/>
    <n v="186.7"/>
    <n v="149.80000000000001"/>
    <n v="116.4"/>
    <x v="202"/>
    <n v="142.19999999999999"/>
    <n v="162.9"/>
    <n v="158"/>
    <n v="184.4"/>
    <n v="153.4"/>
    <n v="144.30000000000001"/>
    <n v="152"/>
    <n v="156.30000000000001"/>
    <n v="142.9"/>
    <n v="148.69999999999999"/>
    <n v="155.6"/>
    <n v="139.6"/>
    <n v="146.6"/>
    <n v="157.5"/>
    <n v="158.4"/>
    <n v="150"/>
    <n v="154.69999999999999"/>
    <n v="154.08333333333334"/>
    <n v="184.4"/>
    <n v="148.85000000000002"/>
    <n v="142.9"/>
    <n v="148.69999999999999"/>
    <n v="139.6"/>
    <n v="146.6"/>
    <x v="3"/>
  </r>
  <r>
    <x v="0"/>
    <x v="7"/>
    <x v="9"/>
    <x v="92"/>
    <n v="146"/>
    <n v="186.3"/>
    <n v="159.19999999999999"/>
    <n v="153.6"/>
    <n v="142.6"/>
    <n v="147.19999999999999"/>
    <n v="200.6"/>
    <n v="150.30000000000001"/>
    <n v="115.3"/>
    <x v="201"/>
    <n v="147.4"/>
    <n v="161.9"/>
    <n v="159.6"/>
    <n v="182.7"/>
    <n v="155.69999999999999"/>
    <n v="150.6"/>
    <n v="155"/>
    <n v="156.5"/>
    <n v="146.80000000000001"/>
    <n v="152"/>
    <n v="159.5"/>
    <n v="146.4"/>
    <n v="152.4"/>
    <n v="162.5"/>
    <n v="156.19999999999999"/>
    <n v="154.30000000000001"/>
    <n v="157.5"/>
    <n v="155.94166666666669"/>
    <n v="182.7"/>
    <n v="153.14999999999998"/>
    <n v="146.80000000000001"/>
    <n v="152"/>
    <n v="146.4"/>
    <n v="152.4"/>
    <x v="3"/>
  </r>
  <r>
    <x v="1"/>
    <x v="7"/>
    <x v="9"/>
    <x v="92"/>
    <n v="150.6"/>
    <n v="193.7"/>
    <n v="164.8"/>
    <n v="153.69999999999999"/>
    <n v="135.69999999999999"/>
    <n v="155.69999999999999"/>
    <n v="226"/>
    <n v="152.19999999999999"/>
    <n v="118.1"/>
    <x v="203"/>
    <n v="139.19999999999999"/>
    <n v="164.8"/>
    <n v="164.4"/>
    <n v="188.7"/>
    <n v="150.5"/>
    <n v="136.1"/>
    <n v="148.30000000000001"/>
    <n v="156.5"/>
    <n v="137.1"/>
    <n v="145.1"/>
    <n v="151"/>
    <n v="135.4"/>
    <n v="142"/>
    <n v="155.69999999999999"/>
    <n v="158.1"/>
    <n v="146.19999999999999"/>
    <n v="155.19999999999999"/>
    <n v="159.65"/>
    <n v="188.7"/>
    <n v="143.30000000000001"/>
    <n v="137.1"/>
    <n v="145.1"/>
    <n v="135.4"/>
    <n v="142"/>
    <x v="3"/>
  </r>
  <r>
    <x v="2"/>
    <x v="7"/>
    <x v="9"/>
    <x v="92"/>
    <n v="147.5"/>
    <n v="188.9"/>
    <n v="161.4"/>
    <n v="153.6"/>
    <n v="140.1"/>
    <n v="151.19999999999999"/>
    <n v="209.2"/>
    <n v="150.9"/>
    <n v="116.2"/>
    <x v="204"/>
    <n v="144"/>
    <n v="163.19999999999999"/>
    <n v="161.4"/>
    <n v="184.3"/>
    <n v="153.69999999999999"/>
    <n v="144.6"/>
    <n v="152.30000000000001"/>
    <n v="156.5"/>
    <n v="143.1"/>
    <n v="148.69999999999999"/>
    <n v="156.30000000000001"/>
    <n v="140.6"/>
    <n v="146.5"/>
    <n v="158.5"/>
    <n v="157"/>
    <n v="150.4"/>
    <n v="156.4"/>
    <n v="157.26666666666668"/>
    <n v="184.3"/>
    <n v="149.14999999999998"/>
    <n v="143.1"/>
    <n v="148.69999999999999"/>
    <n v="140.6"/>
    <n v="146.5"/>
    <x v="3"/>
  </r>
  <r>
    <x v="0"/>
    <x v="7"/>
    <x v="10"/>
    <x v="93"/>
    <n v="145.4"/>
    <n v="188.6"/>
    <n v="171.6"/>
    <n v="153.80000000000001"/>
    <n v="145.4"/>
    <n v="146.5"/>
    <n v="222.2"/>
    <n v="155.9"/>
    <n v="114.9"/>
    <x v="205"/>
    <n v="150"/>
    <n v="162.69999999999999"/>
    <n v="163.4"/>
    <n v="183.4"/>
    <n v="156.30000000000001"/>
    <n v="151"/>
    <n v="155.5"/>
    <n v="158"/>
    <n v="147.5"/>
    <n v="152.80000000000001"/>
    <n v="160.4"/>
    <n v="146.1"/>
    <n v="153.6"/>
    <n v="161.6"/>
    <n v="156.19999999999999"/>
    <n v="154.5"/>
    <n v="159.80000000000001"/>
    <n v="159.91666666666669"/>
    <n v="183.4"/>
    <n v="153.65"/>
    <n v="147.5"/>
    <n v="152.80000000000001"/>
    <n v="146.1"/>
    <n v="153.6"/>
    <x v="3"/>
  </r>
  <r>
    <x v="1"/>
    <x v="7"/>
    <x v="10"/>
    <x v="93"/>
    <n v="149.69999999999999"/>
    <n v="195.5"/>
    <n v="176.9"/>
    <n v="153.9"/>
    <n v="138"/>
    <n v="150.5"/>
    <n v="245.3"/>
    <n v="158.69999999999999"/>
    <n v="117.2"/>
    <x v="206"/>
    <n v="141.5"/>
    <n v="165.1"/>
    <n v="167"/>
    <n v="188.8"/>
    <n v="151.1"/>
    <n v="136.4"/>
    <n v="148.80000000000001"/>
    <n v="158"/>
    <n v="137.30000000000001"/>
    <n v="145.1"/>
    <n v="152"/>
    <n v="135.19999999999999"/>
    <n v="144.4"/>
    <n v="156.4"/>
    <n v="157.9"/>
    <n v="146.6"/>
    <n v="156.69999999999999"/>
    <n v="162.80833333333334"/>
    <n v="188.8"/>
    <n v="143.75"/>
    <n v="137.30000000000001"/>
    <n v="145.1"/>
    <n v="135.19999999999999"/>
    <n v="144.4"/>
    <x v="3"/>
  </r>
  <r>
    <x v="2"/>
    <x v="7"/>
    <x v="10"/>
    <x v="93"/>
    <n v="146.80000000000001"/>
    <n v="191"/>
    <n v="173.6"/>
    <n v="153.80000000000001"/>
    <n v="142.69999999999999"/>
    <n v="148.4"/>
    <n v="230"/>
    <n v="156.80000000000001"/>
    <n v="115.7"/>
    <x v="207"/>
    <n v="146.5"/>
    <n v="163.80000000000001"/>
    <n v="164.7"/>
    <n v="184.8"/>
    <n v="154.30000000000001"/>
    <n v="144.9"/>
    <n v="152.80000000000001"/>
    <n v="158"/>
    <n v="143.6"/>
    <n v="149.19999999999999"/>
    <n v="157.19999999999999"/>
    <n v="140.4"/>
    <n v="148.4"/>
    <n v="158.6"/>
    <n v="156.9"/>
    <n v="150.69999999999999"/>
    <n v="158.4"/>
    <n v="160.90833333333333"/>
    <n v="184.8"/>
    <n v="149.60000000000002"/>
    <n v="143.6"/>
    <n v="149.19999999999999"/>
    <n v="140.4"/>
    <n v="148.4"/>
    <x v="3"/>
  </r>
  <r>
    <x v="0"/>
    <x v="7"/>
    <x v="11"/>
    <x v="94"/>
    <n v="144.6"/>
    <n v="188.5"/>
    <n v="173.4"/>
    <n v="154"/>
    <n v="150"/>
    <n v="145.9"/>
    <n v="225.2"/>
    <n v="159.5"/>
    <n v="114.4"/>
    <x v="208"/>
    <n v="153.4"/>
    <n v="163.6"/>
    <n v="164.5"/>
    <n v="183.6"/>
    <n v="157"/>
    <n v="151.6"/>
    <n v="156.30000000000001"/>
    <n v="158.4"/>
    <n v="148.69999999999999"/>
    <n v="153.4"/>
    <n v="161.6"/>
    <n v="146.4"/>
    <n v="153.9"/>
    <n v="162.9"/>
    <n v="156.6"/>
    <n v="155.19999999999999"/>
    <n v="160.69999999999999"/>
    <n v="161.33333333333334"/>
    <n v="183.6"/>
    <n v="154.30000000000001"/>
    <n v="148.69999999999999"/>
    <n v="153.4"/>
    <n v="146.4"/>
    <n v="153.9"/>
    <x v="3"/>
  </r>
  <r>
    <x v="1"/>
    <x v="7"/>
    <x v="11"/>
    <x v="94"/>
    <n v="149"/>
    <n v="195.7"/>
    <n v="178.3"/>
    <n v="154.19999999999999"/>
    <n v="140.69999999999999"/>
    <n v="149.69999999999999"/>
    <n v="240.9"/>
    <n v="161.5"/>
    <n v="117.1"/>
    <x v="209"/>
    <n v="143.30000000000001"/>
    <n v="166.1"/>
    <n v="167"/>
    <n v="190.2"/>
    <n v="151.9"/>
    <n v="136.69999999999999"/>
    <n v="149.6"/>
    <n v="158.4"/>
    <n v="137.9"/>
    <n v="145.5"/>
    <n v="152.9"/>
    <n v="135.5"/>
    <n v="144.30000000000001"/>
    <n v="156.9"/>
    <n v="157.9"/>
    <n v="146.9"/>
    <n v="156.9"/>
    <n v="163.20000000000002"/>
    <n v="190.2"/>
    <n v="144.30000000000001"/>
    <n v="137.9"/>
    <n v="145.5"/>
    <n v="135.5"/>
    <n v="144.30000000000001"/>
    <x v="3"/>
  </r>
  <r>
    <x v="2"/>
    <x v="7"/>
    <x v="11"/>
    <x v="94"/>
    <n v="146"/>
    <n v="191"/>
    <n v="175.3"/>
    <n v="154.1"/>
    <n v="146.6"/>
    <n v="147.69999999999999"/>
    <n v="230.5"/>
    <n v="160.19999999999999"/>
    <n v="115.3"/>
    <x v="210"/>
    <n v="149.19999999999999"/>
    <n v="164.8"/>
    <n v="165.4"/>
    <n v="185.4"/>
    <n v="155"/>
    <n v="145.4"/>
    <n v="153.6"/>
    <n v="158.4"/>
    <n v="144.6"/>
    <n v="149.69999999999999"/>
    <n v="158.30000000000001"/>
    <n v="140.69999999999999"/>
    <n v="148.5"/>
    <n v="159.4"/>
    <n v="157.1"/>
    <n v="151.19999999999999"/>
    <n v="158.9"/>
    <n v="161.97499999999999"/>
    <n v="185.4"/>
    <n v="150.19999999999999"/>
    <n v="144.6"/>
    <n v="149.69999999999999"/>
    <n v="140.69999999999999"/>
    <n v="148.5"/>
    <x v="3"/>
  </r>
  <r>
    <x v="0"/>
    <x v="8"/>
    <x v="0"/>
    <x v="95"/>
    <n v="143.4"/>
    <n v="187.5"/>
    <n v="173.4"/>
    <n v="154"/>
    <n v="154.80000000000001"/>
    <n v="147"/>
    <n v="187.8"/>
    <n v="159.5"/>
    <n v="113.8"/>
    <x v="211"/>
    <n v="156.1"/>
    <n v="164.3"/>
    <n v="159.6"/>
    <n v="184.6"/>
    <n v="157.5"/>
    <n v="152.4"/>
    <n v="156.80000000000001"/>
    <n v="157.69999999999999"/>
    <n v="150.9"/>
    <n v="153.9"/>
    <n v="162.5"/>
    <n v="147.5"/>
    <n v="155.1"/>
    <n v="163.5"/>
    <n v="156.19999999999999"/>
    <n v="155.9"/>
    <n v="158.5"/>
    <n v="158.84166666666664"/>
    <n v="184.6"/>
    <n v="154.94999999999999"/>
    <n v="150.9"/>
    <n v="153.9"/>
    <n v="147.5"/>
    <n v="155.1"/>
    <x v="3"/>
  </r>
  <r>
    <x v="1"/>
    <x v="8"/>
    <x v="0"/>
    <x v="95"/>
    <n v="148"/>
    <n v="194.8"/>
    <n v="178.4"/>
    <n v="154.4"/>
    <n v="144.1"/>
    <n v="152.6"/>
    <n v="206.8"/>
    <n v="162.1"/>
    <n v="116.3"/>
    <x v="210"/>
    <n v="145.9"/>
    <n v="167.2"/>
    <n v="163.4"/>
    <n v="191.8"/>
    <n v="152.5"/>
    <n v="137.30000000000001"/>
    <n v="150.19999999999999"/>
    <n v="157.69999999999999"/>
    <n v="142.9"/>
    <n v="145.69999999999999"/>
    <n v="154.1"/>
    <n v="136.9"/>
    <n v="145.4"/>
    <n v="156.1"/>
    <n v="157.69999999999999"/>
    <n v="147.6"/>
    <n v="156"/>
    <n v="161.13333333333335"/>
    <n v="191.8"/>
    <n v="144.9"/>
    <n v="142.9"/>
    <n v="145.69999999999999"/>
    <n v="136.9"/>
    <n v="145.4"/>
    <x v="3"/>
  </r>
  <r>
    <x v="2"/>
    <x v="8"/>
    <x v="0"/>
    <x v="95"/>
    <n v="144.9"/>
    <n v="190.1"/>
    <n v="175.3"/>
    <n v="154.1"/>
    <n v="150.9"/>
    <n v="149.6"/>
    <n v="194.2"/>
    <n v="160.4"/>
    <n v="114.6"/>
    <x v="212"/>
    <n v="151.80000000000001"/>
    <n v="165.6"/>
    <n v="161"/>
    <n v="186.5"/>
    <n v="155.5"/>
    <n v="146.1"/>
    <n v="154.19999999999999"/>
    <n v="157.69999999999999"/>
    <n v="147.9"/>
    <n v="150"/>
    <n v="159.30000000000001"/>
    <n v="141.9"/>
    <n v="149.6"/>
    <n v="159.19999999999999"/>
    <n v="156.80000000000001"/>
    <n v="151.9"/>
    <n v="157.30000000000001"/>
    <n v="159.62499999999997"/>
    <n v="186.5"/>
    <n v="150.80000000000001"/>
    <n v="147.9"/>
    <n v="150"/>
    <n v="141.9"/>
    <n v="149.6"/>
    <x v="3"/>
  </r>
  <r>
    <x v="0"/>
    <x v="8"/>
    <x v="1"/>
    <x v="96"/>
    <n v="142.80000000000001"/>
    <n v="184"/>
    <n v="168"/>
    <n v="154.4"/>
    <n v="163"/>
    <n v="147.80000000000001"/>
    <n v="149.69999999999999"/>
    <n v="158.30000000000001"/>
    <n v="111.8"/>
    <x v="213"/>
    <n v="160"/>
    <n v="165.8"/>
    <n v="154.69999999999999"/>
    <n v="186.5"/>
    <n v="159.1"/>
    <n v="153.9"/>
    <n v="158.4"/>
    <n v="159.80000000000001"/>
    <n v="154.4"/>
    <n v="154.80000000000001"/>
    <n v="164.3"/>
    <n v="150.19999999999999"/>
    <n v="157"/>
    <n v="163.6"/>
    <n v="155.19999999999999"/>
    <n v="157.19999999999999"/>
    <n v="156.69999999999999"/>
    <n v="155.88333333333333"/>
    <n v="186.5"/>
    <n v="156.5"/>
    <n v="154.4"/>
    <n v="154.80000000000001"/>
    <n v="150.19999999999999"/>
    <n v="157"/>
    <x v="3"/>
  </r>
  <r>
    <x v="1"/>
    <x v="8"/>
    <x v="1"/>
    <x v="96"/>
    <n v="147.6"/>
    <n v="191.2"/>
    <n v="169.9"/>
    <n v="155.1"/>
    <n v="151.4"/>
    <n v="154"/>
    <n v="180.2"/>
    <n v="159.80000000000001"/>
    <n v="114.9"/>
    <x v="214"/>
    <n v="149.19999999999999"/>
    <n v="169.4"/>
    <n v="160.80000000000001"/>
    <n v="193.3"/>
    <n v="154.19999999999999"/>
    <n v="138.19999999999999"/>
    <n v="151.80000000000001"/>
    <n v="159.80000000000001"/>
    <n v="149.1"/>
    <n v="146.5"/>
    <n v="156.30000000000001"/>
    <n v="140.5"/>
    <n v="147.30000000000001"/>
    <n v="156.6"/>
    <n v="156.69999999999999"/>
    <n v="149.30000000000001"/>
    <n v="156.5"/>
    <n v="158.76666666666668"/>
    <n v="193.3"/>
    <n v="146.19999999999999"/>
    <n v="149.1"/>
    <n v="146.5"/>
    <n v="140.5"/>
    <n v="147.30000000000001"/>
    <x v="3"/>
  </r>
  <r>
    <x v="2"/>
    <x v="8"/>
    <x v="1"/>
    <x v="96"/>
    <n v="144.30000000000001"/>
    <n v="186.5"/>
    <n v="168.7"/>
    <n v="154.69999999999999"/>
    <n v="158.69999999999999"/>
    <n v="150.69999999999999"/>
    <n v="160"/>
    <n v="158.80000000000001"/>
    <n v="112.8"/>
    <x v="215"/>
    <n v="155.5"/>
    <n v="167.5"/>
    <n v="156.9"/>
    <n v="188.3"/>
    <n v="157.19999999999999"/>
    <n v="147.4"/>
    <n v="155.80000000000001"/>
    <n v="159.80000000000001"/>
    <n v="152.4"/>
    <n v="150.9"/>
    <n v="161.30000000000001"/>
    <n v="145.1"/>
    <n v="151.5"/>
    <n v="159.5"/>
    <n v="155.80000000000001"/>
    <n v="153.4"/>
    <n v="156.6"/>
    <n v="156.86666666666667"/>
    <n v="188.3"/>
    <n v="152.30000000000001"/>
    <n v="152.4"/>
    <n v="150.9"/>
    <n v="145.1"/>
    <n v="151.5"/>
    <x v="3"/>
  </r>
  <r>
    <x v="0"/>
    <x v="8"/>
    <x v="2"/>
    <x v="97"/>
    <n v="142.5"/>
    <n v="189.4"/>
    <n v="163.19999999999999"/>
    <n v="154.5"/>
    <n v="168.2"/>
    <n v="150.5"/>
    <n v="141"/>
    <n v="159.19999999999999"/>
    <n v="111.7"/>
    <x v="212"/>
    <n v="160.6"/>
    <n v="166.4"/>
    <n v="154.5"/>
    <n v="186.1"/>
    <n v="159.6"/>
    <n v="154.4"/>
    <n v="158.9"/>
    <n v="159.9"/>
    <n v="156"/>
    <n v="154.80000000000001"/>
    <n v="164.6"/>
    <n v="151.30000000000001"/>
    <n v="157.80000000000001"/>
    <n v="163.80000000000001"/>
    <n v="153.1"/>
    <n v="157.30000000000001"/>
    <n v="156.69999999999999"/>
    <n v="155.93333333333334"/>
    <n v="186.1"/>
    <n v="157"/>
    <n v="156"/>
    <n v="154.80000000000001"/>
    <n v="151.30000000000001"/>
    <n v="157.80000000000001"/>
    <x v="3"/>
  </r>
  <r>
    <x v="1"/>
    <x v="8"/>
    <x v="2"/>
    <x v="97"/>
    <n v="147.5"/>
    <n v="197.5"/>
    <n v="164.7"/>
    <n v="155.6"/>
    <n v="156.4"/>
    <n v="157.30000000000001"/>
    <n v="166.1"/>
    <n v="161.1"/>
    <n v="114.3"/>
    <x v="216"/>
    <n v="150.69999999999999"/>
    <n v="170.3"/>
    <n v="160.4"/>
    <n v="193.5"/>
    <n v="155.1"/>
    <n v="138.69999999999999"/>
    <n v="152.6"/>
    <n v="159.9"/>
    <n v="154.80000000000001"/>
    <n v="147.19999999999999"/>
    <n v="156.9"/>
    <n v="141.69999999999999"/>
    <n v="148.6"/>
    <n v="157.6"/>
    <n v="154.9"/>
    <n v="150"/>
    <n v="156.9"/>
    <n v="158.67499999999998"/>
    <n v="193.5"/>
    <n v="146.89999999999998"/>
    <n v="154.80000000000001"/>
    <n v="147.19999999999999"/>
    <n v="141.69999999999999"/>
    <n v="148.6"/>
    <x v="3"/>
  </r>
  <r>
    <x v="2"/>
    <x v="8"/>
    <x v="2"/>
    <x v="97"/>
    <n v="144.1"/>
    <n v="192.2"/>
    <n v="163.80000000000001"/>
    <n v="154.9"/>
    <n v="163.9"/>
    <n v="153.69999999999999"/>
    <n v="149.5"/>
    <n v="159.80000000000001"/>
    <n v="112.6"/>
    <x v="208"/>
    <n v="156.5"/>
    <n v="168.2"/>
    <n v="156.69999999999999"/>
    <n v="188.1"/>
    <n v="157.80000000000001"/>
    <n v="147.9"/>
    <n v="156.4"/>
    <n v="159.9"/>
    <n v="155.5"/>
    <n v="151.19999999999999"/>
    <n v="161.69999999999999"/>
    <n v="146.19999999999999"/>
    <n v="152.6"/>
    <n v="160.19999999999999"/>
    <n v="153.80000000000001"/>
    <n v="153.80000000000001"/>
    <n v="156.80000000000001"/>
    <n v="156.89166666666665"/>
    <n v="188.1"/>
    <n v="152.85000000000002"/>
    <n v="155.5"/>
    <n v="151.19999999999999"/>
    <n v="146.19999999999999"/>
    <n v="152.6"/>
    <x v="3"/>
  </r>
  <r>
    <x v="0"/>
    <x v="8"/>
    <x v="3"/>
    <x v="98"/>
    <n v="142.69999999999999"/>
    <n v="195.5"/>
    <n v="163.4"/>
    <n v="155"/>
    <n v="175.2"/>
    <n v="160.6"/>
    <n v="135.1"/>
    <n v="161.1"/>
    <n v="112.2"/>
    <x v="217"/>
    <n v="161.9"/>
    <n v="166.8"/>
    <n v="155.6"/>
    <n v="186.8"/>
    <n v="160.69999999999999"/>
    <n v="155.1"/>
    <n v="159.9"/>
    <n v="161.4"/>
    <n v="156"/>
    <n v="155.5"/>
    <n v="165.3"/>
    <n v="151.69999999999999"/>
    <n v="158.6"/>
    <n v="164.1"/>
    <n v="154.6"/>
    <n v="158"/>
    <n v="157.6"/>
    <n v="157.82500000000002"/>
    <n v="186.8"/>
    <n v="157.89999999999998"/>
    <n v="156"/>
    <n v="155.5"/>
    <n v="151.69999999999999"/>
    <n v="158.6"/>
    <x v="3"/>
  </r>
  <r>
    <x v="1"/>
    <x v="8"/>
    <x v="3"/>
    <x v="98"/>
    <n v="147.6"/>
    <n v="202.5"/>
    <n v="166.4"/>
    <n v="156"/>
    <n v="161.4"/>
    <n v="168.8"/>
    <n v="161.6"/>
    <n v="162.80000000000001"/>
    <n v="114.8"/>
    <x v="218"/>
    <n v="151.5"/>
    <n v="171.4"/>
    <n v="162"/>
    <n v="194.4"/>
    <n v="155.9"/>
    <n v="139.30000000000001"/>
    <n v="153.4"/>
    <n v="161.4"/>
    <n v="154.9"/>
    <n v="147.6"/>
    <n v="157.5"/>
    <n v="142.1"/>
    <n v="149.1"/>
    <n v="157.6"/>
    <n v="156.6"/>
    <n v="150.5"/>
    <n v="158"/>
    <n v="160.63333333333333"/>
    <n v="194.4"/>
    <n v="147.60000000000002"/>
    <n v="154.9"/>
    <n v="147.6"/>
    <n v="142.1"/>
    <n v="149.1"/>
    <x v="3"/>
  </r>
  <r>
    <x v="2"/>
    <x v="8"/>
    <x v="3"/>
    <x v="98"/>
    <n v="144.30000000000001"/>
    <n v="198"/>
    <n v="164.6"/>
    <n v="155.4"/>
    <n v="170.1"/>
    <n v="164.4"/>
    <n v="144.1"/>
    <n v="161.69999999999999"/>
    <n v="113.1"/>
    <x v="219"/>
    <n v="157.6"/>
    <n v="168.9"/>
    <n v="158"/>
    <n v="188.8"/>
    <n v="158.80000000000001"/>
    <n v="148.5"/>
    <n v="157.30000000000001"/>
    <n v="161.4"/>
    <n v="155.6"/>
    <n v="151.80000000000001"/>
    <n v="162.30000000000001"/>
    <n v="146.6"/>
    <n v="153.19999999999999"/>
    <n v="160.30000000000001"/>
    <n v="155.4"/>
    <n v="154.4"/>
    <n v="157.80000000000001"/>
    <n v="158.84166666666667"/>
    <n v="188.8"/>
    <n v="153.65"/>
    <n v="155.6"/>
    <n v="151.80000000000001"/>
    <n v="146.6"/>
    <n v="153.19999999999999"/>
    <x v="3"/>
  </r>
  <r>
    <x v="0"/>
    <x v="8"/>
    <x v="4"/>
    <x v="99"/>
    <n v="145.1"/>
    <n v="198.5"/>
    <n v="168.6"/>
    <n v="155.80000000000001"/>
    <n v="184.4"/>
    <n v="162.30000000000001"/>
    <n v="138.4"/>
    <n v="165.1"/>
    <n v="114.3"/>
    <x v="220"/>
    <n v="164.6"/>
    <n v="169.8"/>
    <n v="158.69999999999999"/>
    <n v="189.6"/>
    <n v="165.3"/>
    <n v="160.6"/>
    <n v="164.5"/>
    <n v="161.6"/>
    <n v="161.69999999999999"/>
    <n v="158.80000000000001"/>
    <n v="169.1"/>
    <n v="153.19999999999999"/>
    <n v="160"/>
    <n v="167.6"/>
    <n v="159.30000000000001"/>
    <n v="161.1"/>
    <n v="161.1"/>
    <n v="161.38333333333333"/>
    <n v="189.6"/>
    <n v="162.94999999999999"/>
    <n v="161.69999999999999"/>
    <n v="158.80000000000001"/>
    <n v="153.19999999999999"/>
    <n v="160"/>
    <x v="3"/>
  </r>
  <r>
    <x v="1"/>
    <x v="8"/>
    <x v="4"/>
    <x v="99"/>
    <n v="148.80000000000001"/>
    <n v="204.3"/>
    <n v="173"/>
    <n v="156.5"/>
    <n v="168.8"/>
    <n v="172.5"/>
    <n v="166.5"/>
    <n v="165.9"/>
    <n v="115.9"/>
    <x v="221"/>
    <n v="152"/>
    <n v="171.1"/>
    <n v="164.2"/>
    <n v="198.2"/>
    <n v="156.5"/>
    <n v="140.19999999999999"/>
    <n v="154.1"/>
    <n v="161.6"/>
    <n v="155.5"/>
    <n v="150.1"/>
    <n v="160.4"/>
    <n v="145"/>
    <n v="152.6"/>
    <n v="156.6"/>
    <n v="157.5"/>
    <n v="152.30000000000001"/>
    <n v="159.5"/>
    <n v="163.37500000000003"/>
    <n v="198.2"/>
    <n v="148.35"/>
    <n v="155.5"/>
    <n v="150.1"/>
    <n v="145"/>
    <n v="152.6"/>
    <x v="3"/>
  </r>
  <r>
    <x v="2"/>
    <x v="8"/>
    <x v="4"/>
    <x v="99"/>
    <n v="146.30000000000001"/>
    <n v="200.5"/>
    <n v="170.3"/>
    <n v="156.1"/>
    <n v="178.7"/>
    <n v="167.1"/>
    <n v="147.9"/>
    <n v="165.4"/>
    <n v="114.8"/>
    <x v="222"/>
    <n v="159.30000000000001"/>
    <n v="170.4"/>
    <n v="160.69999999999999"/>
    <n v="191.9"/>
    <n v="161.80000000000001"/>
    <n v="152.1"/>
    <n v="160.4"/>
    <n v="161.6"/>
    <n v="159.4"/>
    <n v="154.69999999999999"/>
    <n v="165.8"/>
    <n v="148.9"/>
    <n v="155.80000000000001"/>
    <n v="161.19999999999999"/>
    <n v="158.6"/>
    <n v="156.80000000000001"/>
    <n v="160.4"/>
    <n v="162.08333333333334"/>
    <n v="191.9"/>
    <n v="156.94999999999999"/>
    <n v="159.4"/>
    <n v="154.69999999999999"/>
    <n v="148.9"/>
    <n v="155.80000000000001"/>
    <x v="3"/>
  </r>
  <r>
    <x v="0"/>
    <x v="8"/>
    <x v="5"/>
    <x v="100"/>
    <n v="145.6"/>
    <n v="200.1"/>
    <n v="179.3"/>
    <n v="156.1"/>
    <n v="190.4"/>
    <n v="158.6"/>
    <n v="144.69999999999999"/>
    <n v="165.5"/>
    <n v="114.6"/>
    <x v="223"/>
    <n v="165.5"/>
    <n v="171.7"/>
    <n v="160.5"/>
    <n v="189.1"/>
    <n v="165.3"/>
    <n v="159.9"/>
    <n v="164.6"/>
    <n v="160.5"/>
    <n v="162.1"/>
    <n v="159.19999999999999"/>
    <n v="169.7"/>
    <n v="154.19999999999999"/>
    <n v="160.4"/>
    <n v="166.8"/>
    <n v="159.4"/>
    <n v="161.5"/>
    <n v="162.1"/>
    <n v="163.50833333333333"/>
    <n v="189.1"/>
    <n v="162.60000000000002"/>
    <n v="162.1"/>
    <n v="159.19999999999999"/>
    <n v="154.19999999999999"/>
    <n v="160.4"/>
    <x v="3"/>
  </r>
  <r>
    <x v="1"/>
    <x v="8"/>
    <x v="5"/>
    <x v="100"/>
    <n v="149.19999999999999"/>
    <n v="205.5"/>
    <n v="182.8"/>
    <n v="156.5"/>
    <n v="172.2"/>
    <n v="171.5"/>
    <n v="176.2"/>
    <n v="166.9"/>
    <n v="116.1"/>
    <x v="224"/>
    <n v="152.30000000000001"/>
    <n v="173.3"/>
    <n v="166.2"/>
    <n v="195.6"/>
    <n v="157.30000000000001"/>
    <n v="140.5"/>
    <n v="154.80000000000001"/>
    <n v="160.5"/>
    <n v="156.1"/>
    <n v="149.80000000000001"/>
    <n v="160.80000000000001"/>
    <n v="147.5"/>
    <n v="150.69999999999999"/>
    <n v="158.1"/>
    <n v="158"/>
    <n v="153.4"/>
    <n v="160.4"/>
    <n v="165.66666666666666"/>
    <n v="195.6"/>
    <n v="148.9"/>
    <n v="156.1"/>
    <n v="149.80000000000001"/>
    <n v="147.5"/>
    <n v="150.69999999999999"/>
    <x v="3"/>
  </r>
  <r>
    <x v="2"/>
    <x v="8"/>
    <x v="5"/>
    <x v="100"/>
    <n v="146.69999999999999"/>
    <n v="202"/>
    <n v="180.7"/>
    <n v="156.19999999999999"/>
    <n v="183.7"/>
    <n v="164.6"/>
    <n v="155.4"/>
    <n v="166"/>
    <n v="115.1"/>
    <x v="225"/>
    <n v="160"/>
    <n v="172.4"/>
    <n v="162.6"/>
    <n v="190.8"/>
    <n v="162.19999999999999"/>
    <n v="151.80000000000001"/>
    <n v="160.69999999999999"/>
    <n v="160.5"/>
    <n v="159.80000000000001"/>
    <n v="154.80000000000001"/>
    <n v="166.3"/>
    <n v="150.69999999999999"/>
    <n v="154.9"/>
    <n v="161.69999999999999"/>
    <n v="158.80000000000001"/>
    <n v="157.6"/>
    <n v="161.30000000000001"/>
    <n v="164.27500000000001"/>
    <n v="190.8"/>
    <n v="157"/>
    <n v="159.80000000000001"/>
    <n v="154.80000000000001"/>
    <n v="150.69999999999999"/>
    <n v="154.9"/>
    <x v="3"/>
  </r>
  <r>
    <x v="0"/>
    <x v="8"/>
    <x v="6"/>
    <x v="101"/>
    <n v="145.1"/>
    <n v="204.5"/>
    <n v="180.4"/>
    <n v="157.1"/>
    <n v="188.7"/>
    <n v="157.69999999999999"/>
    <n v="152.80000000000001"/>
    <n v="163.6"/>
    <n v="113.9"/>
    <x v="220"/>
    <n v="166.2"/>
    <n v="171"/>
    <n v="161.69999999999999"/>
    <n v="189.7"/>
    <n v="166"/>
    <n v="161.1"/>
    <n v="165.3"/>
    <n v="161.5"/>
    <n v="162.5"/>
    <n v="160.30000000000001"/>
    <n v="170.4"/>
    <n v="157.1"/>
    <n v="160.69999999999999"/>
    <n v="167.2"/>
    <n v="160.4"/>
    <n v="162.80000000000001"/>
    <n v="163.19999999999999"/>
    <n v="164.22499999999999"/>
    <n v="189.7"/>
    <n v="163.55000000000001"/>
    <n v="162.5"/>
    <n v="160.30000000000001"/>
    <n v="157.1"/>
    <n v="160.69999999999999"/>
    <x v="3"/>
  </r>
  <r>
    <x v="1"/>
    <x v="8"/>
    <x v="6"/>
    <x v="101"/>
    <n v="149.1"/>
    <n v="210.9"/>
    <n v="185"/>
    <n v="158.19999999999999"/>
    <n v="170.6"/>
    <n v="170.9"/>
    <n v="186.4"/>
    <n v="164.7"/>
    <n v="115.7"/>
    <x v="224"/>
    <n v="153.4"/>
    <n v="173.5"/>
    <n v="167.9"/>
    <n v="195.5"/>
    <n v="157.9"/>
    <n v="141.9"/>
    <n v="155.5"/>
    <n v="161.5"/>
    <n v="157.69999999999999"/>
    <n v="150.69999999999999"/>
    <n v="161.5"/>
    <n v="149.5"/>
    <n v="151.19999999999999"/>
    <n v="160.30000000000001"/>
    <n v="159.6"/>
    <n v="155"/>
    <n v="161.80000000000001"/>
    <n v="166.9916666666667"/>
    <n v="195.5"/>
    <n v="149.9"/>
    <n v="157.69999999999999"/>
    <n v="150.69999999999999"/>
    <n v="149.5"/>
    <n v="151.19999999999999"/>
    <x v="3"/>
  </r>
  <r>
    <x v="2"/>
    <x v="8"/>
    <x v="6"/>
    <x v="101"/>
    <n v="146.4"/>
    <n v="206.8"/>
    <n v="182.2"/>
    <n v="157.5"/>
    <n v="182.1"/>
    <n v="163.9"/>
    <n v="164.2"/>
    <n v="164"/>
    <n v="114.5"/>
    <x v="226"/>
    <n v="160.9"/>
    <n v="172.2"/>
    <n v="164"/>
    <n v="191.2"/>
    <n v="162.80000000000001"/>
    <n v="153.1"/>
    <n v="161.4"/>
    <n v="161.5"/>
    <n v="160.69999999999999"/>
    <n v="155.80000000000001"/>
    <n v="167"/>
    <n v="153.1"/>
    <n v="155.30000000000001"/>
    <n v="163.19999999999999"/>
    <n v="160.1"/>
    <n v="159"/>
    <n v="162.5"/>
    <n v="165.25000000000003"/>
    <n v="191.2"/>
    <n v="157.94999999999999"/>
    <n v="160.69999999999999"/>
    <n v="155.80000000000001"/>
    <n v="153.1"/>
    <n v="155.30000000000001"/>
    <x v="3"/>
  </r>
  <r>
    <x v="0"/>
    <x v="8"/>
    <x v="7"/>
    <x v="102"/>
    <n v="144.9"/>
    <n v="202.3"/>
    <n v="176.5"/>
    <n v="157.5"/>
    <n v="190.9"/>
    <n v="155.69999999999999"/>
    <n v="153.9"/>
    <n v="162.80000000000001"/>
    <n v="115.2"/>
    <x v="227"/>
    <n v="167.6"/>
    <n v="171.9"/>
    <n v="161.80000000000001"/>
    <n v="190.2"/>
    <n v="167"/>
    <n v="162.6"/>
    <n v="166.3"/>
    <n v="162.1"/>
    <n v="163.1"/>
    <n v="160.9"/>
    <n v="171.1"/>
    <n v="157.69999999999999"/>
    <n v="161.1"/>
    <n v="167.5"/>
    <n v="160.30000000000001"/>
    <n v="163.30000000000001"/>
    <n v="163.6"/>
    <n v="164.08333333333334"/>
    <n v="190.2"/>
    <n v="164.8"/>
    <n v="163.1"/>
    <n v="160.9"/>
    <n v="157.69999999999999"/>
    <n v="161.1"/>
    <x v="3"/>
  </r>
  <r>
    <x v="1"/>
    <x v="8"/>
    <x v="7"/>
    <x v="102"/>
    <n v="149.30000000000001"/>
    <n v="207.4"/>
    <n v="174.1"/>
    <n v="159.19999999999999"/>
    <n v="175"/>
    <n v="161.30000000000001"/>
    <n v="183.3"/>
    <n v="164.5"/>
    <n v="120.4"/>
    <x v="228"/>
    <n v="154.80000000000001"/>
    <n v="175.1"/>
    <n v="167.3"/>
    <n v="196.5"/>
    <n v="159.80000000000001"/>
    <n v="143.6"/>
    <n v="157.30000000000001"/>
    <n v="162.1"/>
    <n v="160.69999999999999"/>
    <n v="153.19999999999999"/>
    <n v="162.80000000000001"/>
    <n v="150.4"/>
    <n v="153.69999999999999"/>
    <n v="160.4"/>
    <n v="159.6"/>
    <n v="156"/>
    <n v="162.30000000000001"/>
    <n v="165.88333333333333"/>
    <n v="196.5"/>
    <n v="151.69999999999999"/>
    <n v="160.69999999999999"/>
    <n v="153.19999999999999"/>
    <n v="150.4"/>
    <n v="153.69999999999999"/>
    <x v="3"/>
  </r>
  <r>
    <x v="2"/>
    <x v="8"/>
    <x v="7"/>
    <x v="102"/>
    <n v="146.6"/>
    <n v="204"/>
    <n v="172.8"/>
    <n v="158.4"/>
    <n v="188"/>
    <n v="156.80000000000001"/>
    <n v="162.19999999999999"/>
    <n v="164.1"/>
    <n v="119.7"/>
    <x v="229"/>
    <n v="162.69999999999999"/>
    <n v="173.9"/>
    <n v="164"/>
    <n v="192.1"/>
    <n v="164.5"/>
    <n v="155.30000000000001"/>
    <n v="163.19999999999999"/>
    <n v="162.1"/>
    <n v="162.6"/>
    <n v="157.5"/>
    <n v="168.4"/>
    <n v="154"/>
    <n v="157.6"/>
    <n v="163.80000000000001"/>
    <n v="160"/>
    <n v="160"/>
    <n v="163.19999999999999"/>
    <n v="164.83333333333334"/>
    <n v="192.1"/>
    <n v="159.9"/>
    <n v="162.6"/>
    <n v="157.5"/>
    <n v="154"/>
    <n v="157.6"/>
    <x v="3"/>
  </r>
  <r>
    <x v="0"/>
    <x v="8"/>
    <x v="8"/>
    <x v="103"/>
    <n v="145.4"/>
    <n v="202.1"/>
    <n v="172"/>
    <n v="158"/>
    <n v="195.5"/>
    <n v="152.69999999999999"/>
    <n v="151.4"/>
    <n v="163.9"/>
    <n v="119.3"/>
    <x v="230"/>
    <n v="168.3"/>
    <n v="172.8"/>
    <n v="162.1"/>
    <n v="190.5"/>
    <n v="167.7"/>
    <n v="163.6"/>
    <n v="167.1"/>
    <n v="162.1"/>
    <n v="163.69999999999999"/>
    <n v="161.30000000000001"/>
    <n v="171.9"/>
    <n v="157.80000000000001"/>
    <n v="162.69999999999999"/>
    <n v="168.5"/>
    <n v="160.19999999999999"/>
    <n v="163.80000000000001"/>
    <n v="164"/>
    <n v="164.29166666666666"/>
    <n v="190.5"/>
    <n v="165.64999999999998"/>
    <n v="163.69999999999999"/>
    <n v="161.30000000000001"/>
    <n v="157.80000000000001"/>
    <n v="162.69999999999999"/>
    <x v="3"/>
  </r>
  <r>
    <x v="1"/>
    <x v="8"/>
    <x v="8"/>
    <x v="103"/>
    <n v="149.30000000000001"/>
    <n v="207.4"/>
    <n v="174.1"/>
    <n v="159.1"/>
    <n v="175"/>
    <n v="161.19999999999999"/>
    <n v="183.5"/>
    <n v="164.5"/>
    <n v="120.4"/>
    <x v="228"/>
    <n v="154.80000000000001"/>
    <n v="175.1"/>
    <n v="167.3"/>
    <n v="196.5"/>
    <n v="159.80000000000001"/>
    <n v="143.6"/>
    <n v="157.4"/>
    <n v="162.1"/>
    <n v="160.80000000000001"/>
    <n v="153.30000000000001"/>
    <n v="162.80000000000001"/>
    <n v="150.5"/>
    <n v="153.9"/>
    <n v="160.30000000000001"/>
    <n v="159.6"/>
    <n v="156"/>
    <n v="162.30000000000001"/>
    <n v="165.88333333333335"/>
    <n v="196.5"/>
    <n v="151.69999999999999"/>
    <n v="160.80000000000001"/>
    <n v="153.30000000000001"/>
    <n v="150.5"/>
    <n v="153.9"/>
    <x v="3"/>
  </r>
  <r>
    <x v="2"/>
    <x v="8"/>
    <x v="8"/>
    <x v="103"/>
    <n v="146.6"/>
    <n v="204"/>
    <n v="172.8"/>
    <n v="158.4"/>
    <n v="188"/>
    <n v="156.69999999999999"/>
    <n v="162.30000000000001"/>
    <n v="164.1"/>
    <n v="119.7"/>
    <x v="229"/>
    <n v="162.69999999999999"/>
    <n v="173.9"/>
    <n v="164"/>
    <n v="192.1"/>
    <n v="164.6"/>
    <n v="155.30000000000001"/>
    <n v="163.30000000000001"/>
    <n v="162.1"/>
    <n v="162.6"/>
    <n v="157.5"/>
    <n v="168.4"/>
    <n v="154"/>
    <n v="157.69999999999999"/>
    <n v="163.69999999999999"/>
    <n v="160"/>
    <n v="160"/>
    <n v="163.19999999999999"/>
    <n v="164.83333333333334"/>
    <n v="192.1"/>
    <n v="159.94999999999999"/>
    <n v="162.6"/>
    <n v="157.5"/>
    <n v="154"/>
    <n v="157.69999999999999"/>
    <x v="3"/>
  </r>
  <r>
    <x v="0"/>
    <x v="8"/>
    <x v="9"/>
    <x v="104"/>
    <n v="146.1"/>
    <n v="202.5"/>
    <n v="170.1"/>
    <n v="158.4"/>
    <n v="198.8"/>
    <n v="152.6"/>
    <n v="170.4"/>
    <n v="165.2"/>
    <n v="121.6"/>
    <x v="231"/>
    <n v="168.8"/>
    <n v="173.6"/>
    <n v="165.5"/>
    <n v="191.2"/>
    <n v="168.9"/>
    <n v="164.8"/>
    <n v="168.3"/>
    <n v="163.6"/>
    <n v="165.5"/>
    <n v="162"/>
    <n v="172.5"/>
    <n v="159.5"/>
    <n v="163.19999999999999"/>
    <n v="169"/>
    <n v="161.1"/>
    <n v="164.7"/>
    <n v="166.3"/>
    <n v="166.55833333333331"/>
    <n v="191.2"/>
    <n v="166.85000000000002"/>
    <n v="165.5"/>
    <n v="162"/>
    <n v="159.5"/>
    <n v="163.19999999999999"/>
    <x v="3"/>
  </r>
  <r>
    <x v="1"/>
    <x v="8"/>
    <x v="9"/>
    <x v="104"/>
    <n v="150.1"/>
    <n v="208.4"/>
    <n v="173"/>
    <n v="159.19999999999999"/>
    <n v="176.6"/>
    <n v="159.30000000000001"/>
    <n v="214.4"/>
    <n v="165.3"/>
    <n v="122.5"/>
    <x v="232"/>
    <n v="155.4"/>
    <n v="175.9"/>
    <n v="171.5"/>
    <n v="197"/>
    <n v="160.80000000000001"/>
    <n v="144.4"/>
    <n v="158.30000000000001"/>
    <n v="163.6"/>
    <n v="162.19999999999999"/>
    <n v="154.30000000000001"/>
    <n v="163.5"/>
    <n v="152.19999999999999"/>
    <n v="155.1"/>
    <n v="160.30000000000001"/>
    <n v="160.30000000000001"/>
    <n v="157"/>
    <n v="164.6"/>
    <n v="168.90833333333336"/>
    <n v="197"/>
    <n v="152.60000000000002"/>
    <n v="162.19999999999999"/>
    <n v="154.30000000000001"/>
    <n v="152.19999999999999"/>
    <n v="155.1"/>
    <x v="3"/>
  </r>
  <r>
    <x v="2"/>
    <x v="8"/>
    <x v="9"/>
    <x v="104"/>
    <n v="147.4"/>
    <n v="204.6"/>
    <n v="171.2"/>
    <n v="158.69999999999999"/>
    <n v="190.6"/>
    <n v="155.69999999999999"/>
    <n v="185.3"/>
    <n v="165.2"/>
    <n v="121.9"/>
    <x v="233"/>
    <n v="163.19999999999999"/>
    <n v="174.7"/>
    <n v="167.7"/>
    <n v="192.7"/>
    <n v="165.7"/>
    <n v="156.30000000000001"/>
    <n v="164.3"/>
    <n v="163.6"/>
    <n v="164.2"/>
    <n v="158.4"/>
    <n v="169.1"/>
    <n v="155.69999999999999"/>
    <n v="158.6"/>
    <n v="163.9"/>
    <n v="160.80000000000001"/>
    <n v="161"/>
    <n v="165.5"/>
    <n v="167.31666666666669"/>
    <n v="192.7"/>
    <n v="161"/>
    <n v="164.2"/>
    <n v="158.4"/>
    <n v="155.69999999999999"/>
    <n v="158.6"/>
    <x v="3"/>
  </r>
  <r>
    <x v="0"/>
    <x v="8"/>
    <x v="10"/>
    <x v="105"/>
    <n v="146.9"/>
    <n v="199.8"/>
    <n v="171.5"/>
    <n v="159.1"/>
    <n v="198.4"/>
    <n v="153.19999999999999"/>
    <n v="183.9"/>
    <n v="165.4"/>
    <n v="122.1"/>
    <x v="234"/>
    <n v="169.1"/>
    <n v="174.3"/>
    <n v="167.5"/>
    <n v="191.4"/>
    <n v="170.4"/>
    <n v="166"/>
    <n v="169.8"/>
    <n v="164.2"/>
    <n v="165.3"/>
    <n v="162.9"/>
    <n v="173.4"/>
    <n v="158.9"/>
    <n v="163.80000000000001"/>
    <n v="169.3"/>
    <n v="162.4"/>
    <n v="165.2"/>
    <n v="167.6"/>
    <n v="167.875"/>
    <n v="191.4"/>
    <n v="168.2"/>
    <n v="165.3"/>
    <n v="162.9"/>
    <n v="158.9"/>
    <n v="163.80000000000001"/>
    <x v="3"/>
  </r>
  <r>
    <x v="1"/>
    <x v="8"/>
    <x v="10"/>
    <x v="105"/>
    <n v="151"/>
    <n v="204.9"/>
    <n v="175.4"/>
    <n v="159.6"/>
    <n v="175.8"/>
    <n v="160.30000000000001"/>
    <n v="229.1"/>
    <n v="165.1"/>
    <n v="123.1"/>
    <x v="235"/>
    <n v="156.1"/>
    <n v="176.8"/>
    <n v="173.5"/>
    <n v="197"/>
    <n v="162.30000000000001"/>
    <n v="145.30000000000001"/>
    <n v="159.69999999999999"/>
    <n v="164.2"/>
    <n v="161.6"/>
    <n v="155.19999999999999"/>
    <n v="164.2"/>
    <n v="151.19999999999999"/>
    <n v="156.69999999999999"/>
    <n v="160.80000000000001"/>
    <n v="161.80000000000001"/>
    <n v="157.30000000000001"/>
    <n v="165.6"/>
    <n v="170.36666666666665"/>
    <n v="197"/>
    <n v="153.80000000000001"/>
    <n v="161.6"/>
    <n v="155.19999999999999"/>
    <n v="151.19999999999999"/>
    <n v="156.69999999999999"/>
    <x v="3"/>
  </r>
  <r>
    <x v="2"/>
    <x v="8"/>
    <x v="10"/>
    <x v="105"/>
    <n v="148.19999999999999"/>
    <n v="201.6"/>
    <n v="173"/>
    <n v="159.30000000000001"/>
    <n v="190.1"/>
    <n v="156.5"/>
    <n v="199.2"/>
    <n v="165.3"/>
    <n v="122.4"/>
    <x v="236"/>
    <n v="163.69999999999999"/>
    <n v="175.5"/>
    <n v="169.7"/>
    <n v="192.9"/>
    <n v="167.2"/>
    <n v="157.4"/>
    <n v="165.8"/>
    <n v="164.2"/>
    <n v="163.9"/>
    <n v="159.30000000000001"/>
    <n v="169.9"/>
    <n v="154.80000000000001"/>
    <n v="159.80000000000001"/>
    <n v="164.3"/>
    <n v="162.19999999999999"/>
    <n v="161.4"/>
    <n v="166.7"/>
    <n v="168.7"/>
    <n v="192.9"/>
    <n v="162.30000000000001"/>
    <n v="163.9"/>
    <n v="159.30000000000001"/>
    <n v="154.80000000000001"/>
    <n v="159.80000000000001"/>
    <x v="3"/>
  </r>
  <r>
    <x v="0"/>
    <x v="8"/>
    <x v="11"/>
    <x v="106"/>
    <n v="147.4"/>
    <n v="197"/>
    <n v="176.5"/>
    <n v="159.80000000000001"/>
    <n v="195.8"/>
    <n v="152"/>
    <n v="172.3"/>
    <n v="164.5"/>
    <n v="120.6"/>
    <x v="237"/>
    <n v="169.7"/>
    <n v="175.1"/>
    <n v="165.8"/>
    <n v="190.8"/>
    <n v="171.8"/>
    <n v="167.3"/>
    <n v="171.2"/>
    <n v="163.4"/>
    <n v="165.6"/>
    <n v="163.9"/>
    <n v="174"/>
    <n v="160.1"/>
    <n v="164.5"/>
    <n v="169.7"/>
    <n v="162.80000000000001"/>
    <n v="166"/>
    <n v="167"/>
    <n v="166.86666666666665"/>
    <n v="190.8"/>
    <n v="169.55"/>
    <n v="165.6"/>
    <n v="163.9"/>
    <n v="160.1"/>
    <n v="164.5"/>
    <x v="3"/>
  </r>
  <r>
    <x v="1"/>
    <x v="8"/>
    <x v="11"/>
    <x v="106"/>
    <n v="151.6"/>
    <n v="202.2"/>
    <n v="180"/>
    <n v="160"/>
    <n v="173.5"/>
    <n v="158.30000000000001"/>
    <n v="219.5"/>
    <n v="164.2"/>
    <n v="121.9"/>
    <x v="222"/>
    <n v="156.5"/>
    <n v="178.2"/>
    <n v="172.2"/>
    <n v="196.8"/>
    <n v="163.30000000000001"/>
    <n v="146.69999999999999"/>
    <n v="160.69999999999999"/>
    <n v="163.4"/>
    <n v="161.69999999999999"/>
    <n v="156"/>
    <n v="165.1"/>
    <n v="151.80000000000001"/>
    <n v="157.6"/>
    <n v="160.6"/>
    <n v="162.4"/>
    <n v="157.80000000000001"/>
    <n v="165.2"/>
    <n v="169.50833333333335"/>
    <n v="196.8"/>
    <n v="155"/>
    <n v="161.69999999999999"/>
    <n v="156"/>
    <n v="151.80000000000001"/>
    <n v="157.6"/>
    <x v="3"/>
  </r>
  <r>
    <x v="2"/>
    <x v="8"/>
    <x v="11"/>
    <x v="106"/>
    <n v="148.69999999999999"/>
    <n v="198.8"/>
    <n v="177.9"/>
    <n v="159.9"/>
    <n v="187.6"/>
    <n v="154.9"/>
    <n v="188.3"/>
    <n v="164.4"/>
    <n v="121"/>
    <x v="238"/>
    <n v="164.2"/>
    <n v="176.5"/>
    <n v="168.2"/>
    <n v="192.4"/>
    <n v="168.5"/>
    <n v="158.69999999999999"/>
    <n v="167"/>
    <n v="163.4"/>
    <n v="164.1"/>
    <n v="160.19999999999999"/>
    <n v="170.6"/>
    <n v="155.69999999999999"/>
    <n v="160.6"/>
    <n v="164.4"/>
    <n v="162.6"/>
    <n v="162"/>
    <n v="166.2"/>
    <n v="167.72499999999999"/>
    <n v="192.4"/>
    <n v="163.6"/>
    <n v="164.1"/>
    <n v="160.19999999999999"/>
    <n v="155.69999999999999"/>
    <n v="160.6"/>
    <x v="3"/>
  </r>
  <r>
    <x v="0"/>
    <x v="9"/>
    <x v="0"/>
    <x v="107"/>
    <n v="148.30000000000001"/>
    <n v="196.9"/>
    <n v="178"/>
    <n v="160.5"/>
    <n v="192.6"/>
    <n v="151.19999999999999"/>
    <n v="159.19999999999999"/>
    <n v="164"/>
    <n v="119.3"/>
    <x v="239"/>
    <n v="169.8"/>
    <n v="175.8"/>
    <n v="164.1"/>
    <n v="190.7"/>
    <n v="173.2"/>
    <n v="169.3"/>
    <n v="172.7"/>
    <n v="164.5"/>
    <n v="165.8"/>
    <n v="164.9"/>
    <n v="174.7"/>
    <n v="160.80000000000001"/>
    <n v="164.9"/>
    <n v="169.9"/>
    <n v="163.19999999999999"/>
    <n v="166.6"/>
    <n v="166.4"/>
    <n v="165.74166666666665"/>
    <n v="190.7"/>
    <n v="171.25"/>
    <n v="165.8"/>
    <n v="164.9"/>
    <n v="160.80000000000001"/>
    <n v="164.9"/>
    <x v="3"/>
  </r>
  <r>
    <x v="1"/>
    <x v="9"/>
    <x v="0"/>
    <x v="107"/>
    <n v="152.19999999999999"/>
    <n v="202.1"/>
    <n v="180.1"/>
    <n v="160.4"/>
    <n v="171"/>
    <n v="156.5"/>
    <n v="203.6"/>
    <n v="163.80000000000001"/>
    <n v="121.3"/>
    <x v="227"/>
    <n v="156.6"/>
    <n v="179"/>
    <n v="170.3"/>
    <n v="196.4"/>
    <n v="164.7"/>
    <n v="148.5"/>
    <n v="162.19999999999999"/>
    <n v="164.5"/>
    <n v="161.6"/>
    <n v="156.80000000000001"/>
    <n v="166.1"/>
    <n v="152.69999999999999"/>
    <n v="158.4"/>
    <n v="161"/>
    <n v="162.80000000000001"/>
    <n v="158.6"/>
    <n v="165"/>
    <n v="168.0333333333333"/>
    <n v="196.4"/>
    <n v="156.6"/>
    <n v="161.6"/>
    <n v="156.80000000000001"/>
    <n v="152.69999999999999"/>
    <n v="158.4"/>
    <x v="3"/>
  </r>
  <r>
    <x v="2"/>
    <x v="9"/>
    <x v="0"/>
    <x v="107"/>
    <n v="149.5"/>
    <n v="198.7"/>
    <n v="178.8"/>
    <n v="160.5"/>
    <n v="184.7"/>
    <n v="153.69999999999999"/>
    <n v="174.3"/>
    <n v="163.9"/>
    <n v="120"/>
    <x v="240"/>
    <n v="164.3"/>
    <n v="177.3"/>
    <n v="166.4"/>
    <n v="192.2"/>
    <n v="169.9"/>
    <n v="160.69999999999999"/>
    <n v="168.5"/>
    <n v="164.5"/>
    <n v="164.2"/>
    <n v="161.1"/>
    <n v="171.4"/>
    <n v="156.5"/>
    <n v="161.19999999999999"/>
    <n v="164.7"/>
    <n v="163"/>
    <n v="162.69999999999999"/>
    <n v="165.7"/>
    <n v="166.48333333333332"/>
    <n v="192.2"/>
    <n v="165.3"/>
    <n v="164.2"/>
    <n v="161.1"/>
    <n v="156.5"/>
    <n v="161.19999999999999"/>
    <x v="3"/>
  </r>
  <r>
    <x v="0"/>
    <x v="9"/>
    <x v="1"/>
    <x v="108"/>
    <n v="148.80000000000001"/>
    <n v="198.1"/>
    <n v="175.5"/>
    <n v="160.69999999999999"/>
    <n v="192.6"/>
    <n v="151.4"/>
    <n v="155.19999999999999"/>
    <n v="163.9"/>
    <n v="118.1"/>
    <x v="241"/>
    <n v="170.5"/>
    <n v="176.3"/>
    <n v="163.9"/>
    <n v="191.5"/>
    <n v="174.1"/>
    <n v="171"/>
    <n v="173.7"/>
    <n v="165.5"/>
    <n v="167.4"/>
    <n v="165.7"/>
    <n v="175.3"/>
    <n v="161.19999999999999"/>
    <n v="165.5"/>
    <n v="170.3"/>
    <n v="164.5"/>
    <n v="167.3"/>
    <n v="166.7"/>
    <n v="165.54166666666666"/>
    <n v="191.5"/>
    <n v="172.55"/>
    <n v="167.4"/>
    <n v="165.7"/>
    <n v="161.19999999999999"/>
    <n v="165.5"/>
    <x v="3"/>
  </r>
  <r>
    <x v="1"/>
    <x v="9"/>
    <x v="1"/>
    <x v="108"/>
    <n v="152.5"/>
    <n v="205.2"/>
    <n v="176.4"/>
    <n v="160.6"/>
    <n v="171.5"/>
    <n v="156.4"/>
    <n v="198"/>
    <n v="163.19999999999999"/>
    <n v="120.6"/>
    <x v="242"/>
    <n v="156.69999999999999"/>
    <n v="180"/>
    <n v="170.2"/>
    <n v="196.5"/>
    <n v="165.7"/>
    <n v="150.4"/>
    <n v="163.4"/>
    <n v="165.5"/>
    <n v="163"/>
    <n v="157.4"/>
    <n v="167.2"/>
    <n v="153.1"/>
    <n v="159.5"/>
    <n v="162"/>
    <n v="164.2"/>
    <n v="159.4"/>
    <n v="165.5"/>
    <n v="167.77500000000001"/>
    <n v="196.5"/>
    <n v="158.05000000000001"/>
    <n v="163"/>
    <n v="157.4"/>
    <n v="153.1"/>
    <n v="159.5"/>
    <x v="3"/>
  </r>
  <r>
    <x v="2"/>
    <x v="9"/>
    <x v="1"/>
    <x v="108"/>
    <n v="150"/>
    <n v="200.6"/>
    <n v="175.8"/>
    <n v="160.69999999999999"/>
    <n v="184.9"/>
    <n v="153.69999999999999"/>
    <n v="169.7"/>
    <n v="163.69999999999999"/>
    <n v="118.9"/>
    <x v="243"/>
    <n v="164.7"/>
    <n v="178"/>
    <n v="166.2"/>
    <n v="192.8"/>
    <n v="170.8"/>
    <n v="162.4"/>
    <n v="169.6"/>
    <n v="165.5"/>
    <n v="165.7"/>
    <n v="161.80000000000001"/>
    <n v="172.2"/>
    <n v="156.9"/>
    <n v="162.1"/>
    <n v="165.4"/>
    <n v="164.4"/>
    <n v="163.5"/>
    <n v="166.1"/>
    <n v="166.25000000000003"/>
    <n v="192.8"/>
    <n v="166.60000000000002"/>
    <n v="165.7"/>
    <n v="161.80000000000001"/>
    <n v="156.9"/>
    <n v="162.1"/>
    <x v="3"/>
  </r>
  <r>
    <x v="0"/>
    <x v="9"/>
    <x v="2"/>
    <x v="109"/>
    <n v="150.19999999999999"/>
    <n v="208"/>
    <n v="167.9"/>
    <n v="162"/>
    <n v="203.1"/>
    <n v="155.9"/>
    <n v="155.80000000000001"/>
    <n v="164.2"/>
    <n v="118.1"/>
    <x v="244"/>
    <n v="171.2"/>
    <n v="177.4"/>
    <n v="166.6"/>
    <n v="192.3"/>
    <n v="175.4"/>
    <n v="173.2"/>
    <n v="175.1"/>
    <n v="165.3"/>
    <n v="168.9"/>
    <n v="166.5"/>
    <n v="176"/>
    <n v="162"/>
    <n v="166.6"/>
    <n v="170.6"/>
    <n v="167.4"/>
    <n v="168.3"/>
    <n v="168.7"/>
    <n v="167.70833333333334"/>
    <n v="192.3"/>
    <n v="174.3"/>
    <n v="168.9"/>
    <n v="166.5"/>
    <n v="162"/>
    <n v="166.6"/>
    <x v="3"/>
  </r>
  <r>
    <x v="1"/>
    <x v="9"/>
    <x v="2"/>
    <x v="109"/>
    <n v="153.69999999999999"/>
    <n v="215.8"/>
    <n v="167.7"/>
    <n v="162.6"/>
    <n v="180"/>
    <n v="159.6"/>
    <n v="188.4"/>
    <n v="163.4"/>
    <n v="120.3"/>
    <x v="245"/>
    <n v="157.1"/>
    <n v="181.5"/>
    <n v="171.5"/>
    <n v="197.5"/>
    <n v="167.1"/>
    <n v="152.6"/>
    <n v="164.9"/>
    <n v="165.3"/>
    <n v="164.5"/>
    <n v="158.6"/>
    <n v="168.2"/>
    <n v="154.19999999999999"/>
    <n v="160.80000000000001"/>
    <n v="162.69999999999999"/>
    <n v="166.8"/>
    <n v="160.6"/>
    <n v="166.5"/>
    <n v="168.73333333333335"/>
    <n v="197.5"/>
    <n v="159.85"/>
    <n v="164.5"/>
    <n v="158.6"/>
    <n v="154.19999999999999"/>
    <n v="160.80000000000001"/>
    <x v="3"/>
  </r>
  <r>
    <x v="2"/>
    <x v="9"/>
    <x v="2"/>
    <x v="109"/>
    <n v="151.30000000000001"/>
    <n v="210.7"/>
    <n v="167.8"/>
    <n v="162.19999999999999"/>
    <n v="194.6"/>
    <n v="157.6"/>
    <n v="166.9"/>
    <n v="163.9"/>
    <n v="118.8"/>
    <x v="246"/>
    <n v="165.3"/>
    <n v="179.3"/>
    <n v="168.4"/>
    <n v="193.7"/>
    <n v="172.1"/>
    <n v="164.6"/>
    <n v="171.1"/>
    <n v="165.3"/>
    <n v="167.2"/>
    <n v="162.80000000000001"/>
    <n v="173"/>
    <n v="157.9"/>
    <n v="163.30000000000001"/>
    <n v="166"/>
    <n v="167.2"/>
    <n v="164.6"/>
    <n v="167.7"/>
    <n v="167.98333333333335"/>
    <n v="193.7"/>
    <n v="168.35"/>
    <n v="167.2"/>
    <n v="162.80000000000001"/>
    <n v="157.9"/>
    <n v="163.30000000000001"/>
    <x v="3"/>
  </r>
  <r>
    <x v="0"/>
    <x v="9"/>
    <x v="3"/>
    <x v="110"/>
    <n v="151.80000000000001"/>
    <n v="209.7"/>
    <n v="164.5"/>
    <n v="163.80000000000001"/>
    <n v="207.4"/>
    <n v="169.7"/>
    <n v="153.6"/>
    <n v="165.1"/>
    <n v="118.2"/>
    <x v="247"/>
    <n v="172.4"/>
    <n v="178.9"/>
    <n v="168.6"/>
    <n v="192.8"/>
    <n v="177.5"/>
    <n v="175.1"/>
    <n v="177.1"/>
    <n v="167"/>
    <n v="173.3"/>
    <n v="167.7"/>
    <n v="177"/>
    <n v="166.2"/>
    <n v="167.2"/>
    <n v="170.9"/>
    <n v="169"/>
    <n v="170.2"/>
    <n v="170.8"/>
    <n v="169.83333333333334"/>
    <n v="192.8"/>
    <n v="176.3"/>
    <n v="173.3"/>
    <n v="167.7"/>
    <n v="166.2"/>
    <n v="167.2"/>
    <x v="3"/>
  </r>
  <r>
    <x v="1"/>
    <x v="9"/>
    <x v="3"/>
    <x v="110"/>
    <n v="155.4"/>
    <n v="215.8"/>
    <n v="164.6"/>
    <n v="164.2"/>
    <n v="186"/>
    <n v="175.9"/>
    <n v="190.7"/>
    <n v="164"/>
    <n v="120.5"/>
    <x v="248"/>
    <n v="157.5"/>
    <n v="183.3"/>
    <n v="174.5"/>
    <n v="197.1"/>
    <n v="168.4"/>
    <n v="154.5"/>
    <n v="166.3"/>
    <n v="167"/>
    <n v="170.5"/>
    <n v="159.80000000000001"/>
    <n v="169"/>
    <n v="159.30000000000001"/>
    <n v="162.19999999999999"/>
    <n v="164"/>
    <n v="168.4"/>
    <n v="163.1"/>
    <n v="169.2"/>
    <n v="171.32500000000002"/>
    <n v="197.1"/>
    <n v="161.44999999999999"/>
    <n v="170.5"/>
    <n v="159.80000000000001"/>
    <n v="159.30000000000001"/>
    <n v="162.19999999999999"/>
    <x v="3"/>
  </r>
  <r>
    <x v="2"/>
    <x v="9"/>
    <x v="3"/>
    <x v="110"/>
    <n v="152.9"/>
    <n v="211.8"/>
    <n v="164.5"/>
    <n v="163.9"/>
    <n v="199.5"/>
    <n v="172.6"/>
    <n v="166.2"/>
    <n v="164.7"/>
    <n v="119"/>
    <x v="249"/>
    <n v="166.2"/>
    <n v="180.9"/>
    <n v="170.8"/>
    <n v="193.9"/>
    <n v="173.9"/>
    <n v="166.5"/>
    <n v="172.8"/>
    <n v="167"/>
    <n v="172.2"/>
    <n v="164"/>
    <n v="174"/>
    <n v="162.6"/>
    <n v="164.4"/>
    <n v="166.9"/>
    <n v="168.8"/>
    <n v="166.8"/>
    <n v="170.1"/>
    <n v="170.29166666666669"/>
    <n v="193.9"/>
    <n v="170.2"/>
    <n v="172.2"/>
    <n v="164"/>
    <n v="162.6"/>
    <n v="164.4"/>
    <x v="3"/>
  </r>
  <r>
    <x v="0"/>
    <x v="9"/>
    <x v="4"/>
    <x v="111"/>
    <n v="152.9"/>
    <n v="214.7"/>
    <n v="161.4"/>
    <n v="164.6"/>
    <n v="209.9"/>
    <n v="168"/>
    <n v="160.4"/>
    <n v="165"/>
    <n v="118.9"/>
    <x v="250"/>
    <n v="173.2"/>
    <n v="180.4"/>
    <n v="170.8"/>
    <n v="192.9"/>
    <n v="179.3"/>
    <n v="177.2"/>
    <n v="179"/>
    <n v="167.5"/>
    <n v="175.3"/>
    <n v="168.9"/>
    <n v="177.7"/>
    <n v="167.1"/>
    <n v="167.6"/>
    <n v="171.8"/>
    <n v="168.5"/>
    <n v="170.9"/>
    <n v="172.5"/>
    <n v="171.33333333333334"/>
    <n v="192.9"/>
    <n v="178.25"/>
    <n v="175.3"/>
    <n v="168.9"/>
    <n v="167.1"/>
    <n v="167.6"/>
    <x v="3"/>
  </r>
  <r>
    <x v="1"/>
    <x v="9"/>
    <x v="4"/>
    <x v="111"/>
    <n v="156.69999999999999"/>
    <n v="221.2"/>
    <n v="164.1"/>
    <n v="165.4"/>
    <n v="189.5"/>
    <n v="174.5"/>
    <n v="203.2"/>
    <n v="164.1"/>
    <n v="121.2"/>
    <x v="251"/>
    <n v="158.5"/>
    <n v="184.9"/>
    <n v="177.5"/>
    <n v="197.5"/>
    <n v="170"/>
    <n v="155.9"/>
    <n v="167.8"/>
    <n v="167.5"/>
    <n v="173.5"/>
    <n v="161.1"/>
    <n v="170.1"/>
    <n v="159.4"/>
    <n v="163.19999999999999"/>
    <n v="165.2"/>
    <n v="168.2"/>
    <n v="163.80000000000001"/>
    <n v="170.8"/>
    <n v="173.72500000000002"/>
    <n v="197.5"/>
    <n v="162.94999999999999"/>
    <n v="173.5"/>
    <n v="161.1"/>
    <n v="159.4"/>
    <n v="163.19999999999999"/>
    <x v="3"/>
  </r>
  <r>
    <x v="2"/>
    <x v="9"/>
    <x v="4"/>
    <x v="111"/>
    <n v="154.1"/>
    <n v="217"/>
    <n v="162.4"/>
    <n v="164.9"/>
    <n v="202.4"/>
    <n v="171"/>
    <n v="174.9"/>
    <n v="164.7"/>
    <n v="119.7"/>
    <x v="252"/>
    <n v="167.1"/>
    <n v="182.5"/>
    <n v="173.3"/>
    <n v="194.1"/>
    <n v="175.6"/>
    <n v="168.4"/>
    <n v="174.6"/>
    <n v="167.5"/>
    <n v="174.6"/>
    <n v="165.2"/>
    <n v="174.8"/>
    <n v="163"/>
    <n v="165.1"/>
    <n v="167.9"/>
    <n v="168.4"/>
    <n v="167.5"/>
    <n v="171.7"/>
    <n v="172.13333333333335"/>
    <n v="194.1"/>
    <n v="172"/>
    <n v="174.6"/>
    <n v="165.2"/>
    <n v="163"/>
    <n v="165.1"/>
    <x v="3"/>
  </r>
  <r>
    <x v="0"/>
    <x v="9"/>
    <x v="5"/>
    <x v="112"/>
    <n v="153.80000000000001"/>
    <n v="217.2"/>
    <n v="169.6"/>
    <n v="165.4"/>
    <n v="208.1"/>
    <n v="165.8"/>
    <n v="167.3"/>
    <n v="164.6"/>
    <n v="119.1"/>
    <x v="253"/>
    <n v="174.2"/>
    <n v="181.9"/>
    <n v="172.4"/>
    <n v="192.9"/>
    <n v="180.7"/>
    <n v="178.7"/>
    <n v="180.4"/>
    <n v="166.8"/>
    <n v="176.7"/>
    <n v="170.3"/>
    <n v="178.2"/>
    <n v="165.5"/>
    <n v="168"/>
    <n v="172.6"/>
    <n v="169.5"/>
    <n v="171"/>
    <n v="173.6"/>
    <n v="172.99166666666667"/>
    <n v="192.9"/>
    <n v="179.7"/>
    <n v="176.7"/>
    <n v="170.3"/>
    <n v="165.5"/>
    <n v="168"/>
    <x v="3"/>
  </r>
  <r>
    <x v="1"/>
    <x v="9"/>
    <x v="5"/>
    <x v="112"/>
    <n v="157.5"/>
    <n v="223.4"/>
    <n v="172.8"/>
    <n v="166.4"/>
    <n v="188.6"/>
    <n v="174.1"/>
    <n v="211.5"/>
    <n v="163.6"/>
    <n v="121.4"/>
    <x v="254"/>
    <n v="159.1"/>
    <n v="186.3"/>
    <n v="179.3"/>
    <n v="198.3"/>
    <n v="171.6"/>
    <n v="157.4"/>
    <n v="169.4"/>
    <n v="166.8"/>
    <n v="174.9"/>
    <n v="162.1"/>
    <n v="170.9"/>
    <n v="157.19999999999999"/>
    <n v="164.1"/>
    <n v="166.5"/>
    <n v="169.2"/>
    <n v="163.80000000000001"/>
    <n v="171.4"/>
    <n v="175.68333333333331"/>
    <n v="198.3"/>
    <n v="164.5"/>
    <n v="174.9"/>
    <n v="162.1"/>
    <n v="157.19999999999999"/>
    <n v="164.1"/>
    <x v="3"/>
  </r>
  <r>
    <x v="2"/>
    <x v="9"/>
    <x v="5"/>
    <x v="112"/>
    <n v="155"/>
    <n v="219.4"/>
    <n v="170.8"/>
    <n v="165.8"/>
    <n v="200.9"/>
    <n v="169.7"/>
    <n v="182.3"/>
    <n v="164.3"/>
    <n v="119.9"/>
    <x v="255"/>
    <n v="167.9"/>
    <n v="183.9"/>
    <n v="174.9"/>
    <n v="194.3"/>
    <n v="177.1"/>
    <n v="169.9"/>
    <n v="176"/>
    <n v="166.8"/>
    <n v="176"/>
    <n v="166.4"/>
    <n v="175.4"/>
    <n v="161.1"/>
    <n v="165.8"/>
    <n v="169"/>
    <n v="169.4"/>
    <n v="167.5"/>
    <n v="172.6"/>
    <n v="173.91666666666666"/>
    <n v="194.3"/>
    <n v="173.5"/>
    <n v="176"/>
    <n v="166.4"/>
    <n v="161.1"/>
    <n v="165.8"/>
    <x v="3"/>
  </r>
  <r>
    <x v="0"/>
    <x v="9"/>
    <x v="6"/>
    <x v="113"/>
    <n v="155.19999999999999"/>
    <n v="210.8"/>
    <n v="174.3"/>
    <n v="166.3"/>
    <n v="202.2"/>
    <n v="169.6"/>
    <n v="168.6"/>
    <n v="164.4"/>
    <n v="119.2"/>
    <x v="256"/>
    <n v="174.5"/>
    <n v="183.1"/>
    <n v="172.5"/>
    <n v="193.2"/>
    <n v="182"/>
    <n v="180.3"/>
    <n v="181.7"/>
    <n v="167.8"/>
    <n v="179.6"/>
    <n v="171.3"/>
    <n v="178.8"/>
    <n v="166.3"/>
    <n v="168.6"/>
    <n v="174.7"/>
    <n v="169.7"/>
    <n v="171.8"/>
    <n v="174.3"/>
    <n v="173.33333333333334"/>
    <n v="193.2"/>
    <n v="181.15"/>
    <n v="179.6"/>
    <n v="171.3"/>
    <n v="166.3"/>
    <n v="168.6"/>
    <x v="3"/>
  </r>
  <r>
    <x v="1"/>
    <x v="9"/>
    <x v="6"/>
    <x v="113"/>
    <n v="159.30000000000001"/>
    <n v="217.1"/>
    <n v="176.6"/>
    <n v="167.1"/>
    <n v="184.8"/>
    <n v="179.5"/>
    <n v="208.5"/>
    <n v="164"/>
    <n v="121.5"/>
    <x v="257"/>
    <n v="159.80000000000001"/>
    <n v="187.7"/>
    <n v="179.4"/>
    <n v="198.6"/>
    <n v="172.7"/>
    <n v="158.69999999999999"/>
    <n v="170.6"/>
    <n v="167.8"/>
    <n v="179.5"/>
    <n v="163.1"/>
    <n v="171.7"/>
    <n v="157.4"/>
    <n v="164.6"/>
    <n v="169.1"/>
    <n v="169.8"/>
    <n v="164.7"/>
    <n v="172.3"/>
    <n v="176.01666666666665"/>
    <n v="198.6"/>
    <n v="165.7"/>
    <n v="179.5"/>
    <n v="163.1"/>
    <n v="157.4"/>
    <n v="164.6"/>
    <x v="3"/>
  </r>
  <r>
    <x v="2"/>
    <x v="9"/>
    <x v="6"/>
    <x v="113"/>
    <n v="156.5"/>
    <n v="213"/>
    <n v="175.2"/>
    <n v="166.6"/>
    <n v="195.8"/>
    <n v="174.2"/>
    <n v="182.1"/>
    <n v="164.3"/>
    <n v="120"/>
    <x v="258"/>
    <n v="168.4"/>
    <n v="185.2"/>
    <n v="175"/>
    <n v="194.6"/>
    <n v="178.3"/>
    <n v="171.3"/>
    <n v="177.3"/>
    <n v="167.8"/>
    <n v="179.6"/>
    <n v="167.4"/>
    <n v="176.1"/>
    <n v="161.6"/>
    <n v="166.3"/>
    <n v="171.4"/>
    <n v="169.7"/>
    <n v="168.4"/>
    <n v="173.4"/>
    <n v="174.27500000000001"/>
    <n v="194.6"/>
    <n v="174.8"/>
    <n v="179.6"/>
    <n v="167.4"/>
    <n v="161.6"/>
    <n v="166.3"/>
    <x v="3"/>
  </r>
  <r>
    <x v="0"/>
    <x v="9"/>
    <x v="7"/>
    <x v="114"/>
    <n v="159.5"/>
    <n v="204.1"/>
    <n v="168.3"/>
    <n v="167.9"/>
    <n v="198.1"/>
    <n v="169.2"/>
    <n v="173.1"/>
    <n v="167.1"/>
    <n v="120.2"/>
    <x v="259"/>
    <n v="174.8"/>
    <n v="184"/>
    <n v="173.9"/>
    <n v="193.7"/>
    <n v="183.2"/>
    <n v="181.7"/>
    <n v="183"/>
    <n v="169"/>
    <n v="179.1"/>
    <n v="172.3"/>
    <n v="179.4"/>
    <n v="166.6"/>
    <n v="169.3"/>
    <n v="175.7"/>
    <n v="171.1"/>
    <n v="172.6"/>
    <n v="175.3"/>
    <n v="173.49166666666665"/>
    <n v="193.7"/>
    <n v="182.45"/>
    <n v="179.1"/>
    <n v="172.3"/>
    <n v="166.6"/>
    <n v="169.3"/>
    <x v="3"/>
  </r>
  <r>
    <x v="1"/>
    <x v="9"/>
    <x v="7"/>
    <x v="114"/>
    <n v="162.1"/>
    <n v="210.9"/>
    <n v="170.6"/>
    <n v="168.4"/>
    <n v="182.5"/>
    <n v="177.1"/>
    <n v="213.1"/>
    <n v="167.3"/>
    <n v="122.2"/>
    <x v="260"/>
    <n v="160.5"/>
    <n v="188.9"/>
    <n v="180.4"/>
    <n v="198.7"/>
    <n v="173.7"/>
    <n v="160"/>
    <n v="171.6"/>
    <n v="169"/>
    <n v="178.4"/>
    <n v="164.2"/>
    <n v="172.6"/>
    <n v="157.69999999999999"/>
    <n v="165.1"/>
    <n v="169.9"/>
    <n v="171.4"/>
    <n v="165.4"/>
    <n v="173.1"/>
    <n v="176.10833333333332"/>
    <n v="198.7"/>
    <n v="166.85"/>
    <n v="178.4"/>
    <n v="164.2"/>
    <n v="157.69999999999999"/>
    <n v="165.1"/>
    <x v="3"/>
  </r>
  <r>
    <x v="2"/>
    <x v="9"/>
    <x v="7"/>
    <x v="114"/>
    <n v="160.30000000000001"/>
    <n v="206.5"/>
    <n v="169.2"/>
    <n v="168.1"/>
    <n v="192.4"/>
    <n v="172.9"/>
    <n v="186.7"/>
    <n v="167.2"/>
    <n v="120.9"/>
    <x v="261"/>
    <n v="168.8"/>
    <n v="186.3"/>
    <n v="176.3"/>
    <n v="195"/>
    <n v="179.5"/>
    <n v="172.7"/>
    <n v="178.5"/>
    <n v="169"/>
    <n v="178.8"/>
    <n v="168.5"/>
    <n v="176.8"/>
    <n v="161.9"/>
    <n v="166.9"/>
    <n v="172.3"/>
    <n v="171.2"/>
    <n v="169.1"/>
    <n v="174.3"/>
    <n v="174.40833333333333"/>
    <n v="195"/>
    <n v="176.1"/>
    <n v="178.8"/>
    <n v="168.5"/>
    <n v="161.9"/>
    <n v="166.9"/>
    <x v="3"/>
  </r>
  <r>
    <x v="0"/>
    <x v="9"/>
    <x v="8"/>
    <x v="115"/>
    <n v="162.9"/>
    <n v="206.7"/>
    <n v="169"/>
    <n v="169.5"/>
    <n v="194.1"/>
    <n v="164.1"/>
    <n v="176.9"/>
    <n v="169"/>
    <n v="120.8"/>
    <x v="262"/>
    <n v="175.4"/>
    <n v="184.8"/>
    <n v="175.5"/>
    <n v="194.5"/>
    <n v="184.7"/>
    <n v="183.3"/>
    <n v="184.5"/>
    <n v="169.5"/>
    <n v="179.7"/>
    <n v="173.6"/>
    <n v="180.2"/>
    <n v="166.9"/>
    <n v="170"/>
    <n v="176.2"/>
    <n v="170.8"/>
    <n v="173.1"/>
    <n v="176.4"/>
    <n v="174.35833333333335"/>
    <n v="194.5"/>
    <n v="184"/>
    <n v="179.7"/>
    <n v="173.6"/>
    <n v="166.9"/>
    <n v="170"/>
    <x v="3"/>
  </r>
  <r>
    <x v="1"/>
    <x v="9"/>
    <x v="8"/>
    <x v="115"/>
    <n v="164.9"/>
    <n v="213.7"/>
    <n v="170.9"/>
    <n v="170.1"/>
    <n v="179.3"/>
    <n v="167.5"/>
    <n v="220.8"/>
    <n v="169.2"/>
    <n v="123.1"/>
    <x v="261"/>
    <n v="161.1"/>
    <n v="190.4"/>
    <n v="181.8"/>
    <n v="199.7"/>
    <n v="175"/>
    <n v="161.69999999999999"/>
    <n v="173"/>
    <n v="169.5"/>
    <n v="179.2"/>
    <n v="165"/>
    <n v="173.8"/>
    <n v="158.19999999999999"/>
    <n v="165.8"/>
    <n v="170.9"/>
    <n v="171.1"/>
    <n v="166.1"/>
    <n v="174.1"/>
    <n v="177.04999999999998"/>
    <n v="199.7"/>
    <n v="168.35"/>
    <n v="179.2"/>
    <n v="165"/>
    <n v="158.19999999999999"/>
    <n v="165.8"/>
    <x v="3"/>
  </r>
  <r>
    <x v="2"/>
    <x v="9"/>
    <x v="8"/>
    <x v="115"/>
    <n v="163.5"/>
    <n v="209.2"/>
    <n v="169.7"/>
    <n v="169.7"/>
    <n v="188.7"/>
    <n v="165.7"/>
    <n v="191.8"/>
    <n v="169.1"/>
    <n v="121.6"/>
    <x v="263"/>
    <n v="169.4"/>
    <n v="187.4"/>
    <n v="177.8"/>
    <n v="195.9"/>
    <n v="180.9"/>
    <n v="174.3"/>
    <n v="179.9"/>
    <n v="169.5"/>
    <n v="179.5"/>
    <n v="169.5"/>
    <n v="177.8"/>
    <n v="162.30000000000001"/>
    <n v="167.6"/>
    <n v="173.1"/>
    <n v="170.9"/>
    <n v="169.7"/>
    <n v="175.3"/>
    <n v="175.25833333333333"/>
    <n v="195.9"/>
    <n v="177.60000000000002"/>
    <n v="179.5"/>
    <n v="169.5"/>
    <n v="162.30000000000001"/>
    <n v="167.6"/>
    <x v="3"/>
  </r>
  <r>
    <x v="0"/>
    <x v="9"/>
    <x v="9"/>
    <x v="116"/>
    <n v="164.7"/>
    <n v="208.8"/>
    <n v="170.3"/>
    <n v="170.9"/>
    <n v="191.6"/>
    <n v="162.19999999999999"/>
    <n v="184.8"/>
    <n v="169.7"/>
    <n v="121.1"/>
    <x v="264"/>
    <n v="175.8"/>
    <n v="185.6"/>
    <n v="177.4"/>
    <n v="194.9"/>
    <n v="186.1"/>
    <n v="184.4"/>
    <n v="185.9"/>
    <n v="171.2"/>
    <n v="180.8"/>
    <n v="174.4"/>
    <n v="181.2"/>
    <n v="167.4"/>
    <n v="170.6"/>
    <n v="176.5"/>
    <n v="172"/>
    <n v="173.9"/>
    <n v="177.9"/>
    <n v="175.59166666666667"/>
    <n v="194.9"/>
    <n v="185.25"/>
    <n v="180.8"/>
    <n v="174.4"/>
    <n v="167.4"/>
    <n v="170.6"/>
    <x v="3"/>
  </r>
  <r>
    <x v="1"/>
    <x v="9"/>
    <x v="9"/>
    <x v="116"/>
    <n v="166.4"/>
    <n v="214.9"/>
    <n v="171.9"/>
    <n v="171"/>
    <n v="177.7"/>
    <n v="165.7"/>
    <n v="228.6"/>
    <n v="169.9"/>
    <n v="123.4"/>
    <x v="265"/>
    <n v="161.6"/>
    <n v="191.5"/>
    <n v="183.3"/>
    <n v="200.1"/>
    <n v="175.5"/>
    <n v="162.6"/>
    <n v="173.6"/>
    <n v="171.2"/>
    <n v="180"/>
    <n v="166"/>
    <n v="174.7"/>
    <n v="158.80000000000001"/>
    <n v="166.3"/>
    <n v="171.2"/>
    <n v="172.3"/>
    <n v="166.8"/>
    <n v="175.3"/>
    <n v="178.25"/>
    <n v="200.1"/>
    <n v="169.05"/>
    <n v="180"/>
    <n v="166"/>
    <n v="158.80000000000001"/>
    <n v="166.3"/>
    <x v="3"/>
  </r>
  <r>
    <x v="2"/>
    <x v="9"/>
    <x v="9"/>
    <x v="116"/>
    <n v="165.2"/>
    <n v="210.9"/>
    <n v="170.9"/>
    <n v="170.9"/>
    <n v="186.5"/>
    <n v="163.80000000000001"/>
    <n v="199.7"/>
    <n v="169.8"/>
    <n v="121.9"/>
    <x v="266"/>
    <n v="169.9"/>
    <n v="188.3"/>
    <n v="179.6"/>
    <n v="196.3"/>
    <n v="181.9"/>
    <n v="175.3"/>
    <n v="181"/>
    <n v="171.2"/>
    <n v="180.5"/>
    <n v="170.4"/>
    <n v="178.7"/>
    <n v="162.9"/>
    <n v="168.2"/>
    <n v="173.4"/>
    <n v="172.1"/>
    <n v="170.5"/>
    <n v="176.7"/>
    <n v="176.47500000000002"/>
    <n v="196.3"/>
    <n v="178.60000000000002"/>
    <n v="180.5"/>
    <n v="170.4"/>
    <n v="162.9"/>
    <n v="168.2"/>
    <x v="3"/>
  </r>
  <r>
    <x v="0"/>
    <x v="9"/>
    <x v="10"/>
    <x v="117"/>
    <n v="166.9"/>
    <n v="207.2"/>
    <n v="180.2"/>
    <n v="172.3"/>
    <n v="194"/>
    <n v="159.1"/>
    <n v="171.6"/>
    <n v="170.2"/>
    <n v="121.5"/>
    <x v="267"/>
    <n v="176.4"/>
    <n v="186.9"/>
    <n v="176.6"/>
    <n v="195.5"/>
    <n v="187.2"/>
    <n v="185.2"/>
    <n v="186.9"/>
    <n v="171.8"/>
    <n v="181.9"/>
    <n v="175.5"/>
    <n v="182.3"/>
    <n v="167.5"/>
    <n v="170.8"/>
    <n v="176.9"/>
    <n v="173.4"/>
    <n v="174.6"/>
    <n v="177.8"/>
    <n v="175.92499999999998"/>
    <n v="195.5"/>
    <n v="186.2"/>
    <n v="181.9"/>
    <n v="175.5"/>
    <n v="167.5"/>
    <n v="170.8"/>
    <x v="3"/>
  </r>
  <r>
    <x v="1"/>
    <x v="9"/>
    <x v="10"/>
    <x v="117"/>
    <n v="168.4"/>
    <n v="213.4"/>
    <n v="183.2"/>
    <n v="172.3"/>
    <n v="180"/>
    <n v="162.6"/>
    <n v="205.5"/>
    <n v="171"/>
    <n v="123.4"/>
    <x v="268"/>
    <n v="162.1"/>
    <n v="192.4"/>
    <n v="181.3"/>
    <n v="200.6"/>
    <n v="176.7"/>
    <n v="163.5"/>
    <n v="174.7"/>
    <n v="171.8"/>
    <n v="180.3"/>
    <n v="166.9"/>
    <n v="175.8"/>
    <n v="158.9"/>
    <n v="166.7"/>
    <n v="171.5"/>
    <n v="173.8"/>
    <n v="167.4"/>
    <n v="174.1"/>
    <n v="177.75833333333333"/>
    <n v="200.6"/>
    <n v="170.1"/>
    <n v="180.3"/>
    <n v="166.9"/>
    <n v="158.9"/>
    <n v="166.7"/>
    <x v="3"/>
  </r>
  <r>
    <x v="2"/>
    <x v="9"/>
    <x v="10"/>
    <x v="117"/>
    <n v="167.4"/>
    <n v="209.4"/>
    <n v="181.4"/>
    <n v="172.3"/>
    <n v="188.9"/>
    <n v="160.69999999999999"/>
    <n v="183.1"/>
    <n v="170.5"/>
    <n v="122.1"/>
    <x v="269"/>
    <n v="170.4"/>
    <n v="189.5"/>
    <n v="178.3"/>
    <n v="196.9"/>
    <n v="183.1"/>
    <n v="176.2"/>
    <n v="182.1"/>
    <n v="171.8"/>
    <n v="181.3"/>
    <n v="171.4"/>
    <n v="179.8"/>
    <n v="163"/>
    <n v="168.5"/>
    <n v="173.7"/>
    <n v="173.6"/>
    <n v="171.1"/>
    <n v="176.5"/>
    <n v="176.54166666666666"/>
    <n v="196.9"/>
    <n v="179.64999999999998"/>
    <n v="181.3"/>
    <n v="171.4"/>
    <n v="163"/>
    <n v="168.5"/>
    <x v="3"/>
  </r>
  <r>
    <x v="0"/>
    <x v="9"/>
    <x v="11"/>
    <x v="118"/>
    <n v="168.8"/>
    <n v="206.9"/>
    <n v="189.1"/>
    <n v="173.4"/>
    <n v="193.9"/>
    <n v="156.69999999999999"/>
    <n v="150.19999999999999"/>
    <n v="170.5"/>
    <n v="121.2"/>
    <x v="270"/>
    <n v="176.8"/>
    <n v="187.7"/>
    <n v="174.4"/>
    <n v="195.9"/>
    <n v="188.1"/>
    <n v="185.9"/>
    <n v="187.8"/>
    <n v="170.7"/>
    <n v="182.8"/>
    <n v="176.4"/>
    <n v="183.5"/>
    <n v="167.8"/>
    <n v="171.2"/>
    <n v="177.3"/>
    <n v="175.7"/>
    <n v="175.5"/>
    <n v="177.1"/>
    <n v="175.22499999999999"/>
    <n v="195.9"/>
    <n v="187"/>
    <n v="182.8"/>
    <n v="176.4"/>
    <n v="167.8"/>
    <n v="171.2"/>
    <x v="3"/>
  </r>
  <r>
    <x v="1"/>
    <x v="9"/>
    <x v="11"/>
    <x v="118"/>
    <n v="170.2"/>
    <n v="212.9"/>
    <n v="191.9"/>
    <n v="173.9"/>
    <n v="179.1"/>
    <n v="159.5"/>
    <n v="178.7"/>
    <n v="171.3"/>
    <n v="123.1"/>
    <x v="271"/>
    <n v="162.80000000000001"/>
    <n v="193.3"/>
    <n v="178.6"/>
    <n v="201.1"/>
    <n v="177.7"/>
    <n v="164.5"/>
    <n v="175.7"/>
    <n v="170.7"/>
    <n v="180.6"/>
    <n v="167.3"/>
    <n v="177.2"/>
    <n v="159.4"/>
    <n v="167.1"/>
    <n v="171.8"/>
    <n v="176"/>
    <n v="168.2"/>
    <n v="174.1"/>
    <n v="176.43333333333331"/>
    <n v="201.1"/>
    <n v="171.1"/>
    <n v="180.6"/>
    <n v="167.3"/>
    <n v="159.4"/>
    <n v="167.1"/>
    <x v="3"/>
  </r>
  <r>
    <x v="2"/>
    <x v="9"/>
    <x v="11"/>
    <x v="118"/>
    <n v="169.2"/>
    <n v="209"/>
    <n v="190.2"/>
    <n v="173.6"/>
    <n v="188.5"/>
    <n v="158"/>
    <n v="159.9"/>
    <n v="170.8"/>
    <n v="121.8"/>
    <x v="272"/>
    <n v="171"/>
    <n v="190.3"/>
    <n v="175.9"/>
    <n v="197.3"/>
    <n v="184"/>
    <n v="177"/>
    <n v="183"/>
    <n v="170.7"/>
    <n v="182"/>
    <n v="172.1"/>
    <n v="181.1"/>
    <n v="163.4"/>
    <n v="168.9"/>
    <n v="174.1"/>
    <n v="175.8"/>
    <n v="172"/>
    <n v="175.7"/>
    <n v="175.625"/>
    <n v="197.3"/>
    <n v="180.5"/>
    <n v="182"/>
    <n v="172.1"/>
    <n v="163.4"/>
    <n v="168.9"/>
    <x v="3"/>
  </r>
  <r>
    <x v="0"/>
    <x v="10"/>
    <x v="0"/>
    <x v="119"/>
    <n v="174"/>
    <n v="208.3"/>
    <n v="192.9"/>
    <n v="174.3"/>
    <n v="192.6"/>
    <n v="156.30000000000001"/>
    <n v="142.9"/>
    <n v="170.7"/>
    <n v="120.3"/>
    <x v="273"/>
    <n v="176.9"/>
    <n v="188.5"/>
    <n v="175"/>
    <n v="196.9"/>
    <n v="189"/>
    <n v="186.3"/>
    <n v="188.6"/>
    <n v="172.1"/>
    <n v="183.2"/>
    <n v="177.2"/>
    <n v="184.7"/>
    <n v="168.2"/>
    <n v="171.8"/>
    <n v="177.8"/>
    <n v="178.4"/>
    <n v="176.5"/>
    <n v="177.8"/>
    <n v="175.68333333333337"/>
    <n v="196.9"/>
    <n v="187.65"/>
    <n v="183.2"/>
    <n v="177.2"/>
    <n v="168.2"/>
    <n v="171.8"/>
    <x v="3"/>
  </r>
  <r>
    <x v="1"/>
    <x v="10"/>
    <x v="0"/>
    <x v="119"/>
    <n v="173.3"/>
    <n v="215.2"/>
    <n v="197"/>
    <n v="175.2"/>
    <n v="178"/>
    <n v="160.5"/>
    <n v="175.3"/>
    <n v="171.2"/>
    <n v="122.7"/>
    <x v="274"/>
    <n v="163.69999999999999"/>
    <n v="194.3"/>
    <n v="179.5"/>
    <n v="201.6"/>
    <n v="178.7"/>
    <n v="165.3"/>
    <n v="176.6"/>
    <n v="172.1"/>
    <n v="180.1"/>
    <n v="168"/>
    <n v="178.5"/>
    <n v="159.5"/>
    <n v="167.8"/>
    <n v="171.8"/>
    <n v="178.8"/>
    <n v="168.9"/>
    <n v="174.9"/>
    <n v="177.55833333333337"/>
    <n v="201.6"/>
    <n v="172"/>
    <n v="180.1"/>
    <n v="168"/>
    <n v="159.5"/>
    <n v="167.8"/>
    <x v="3"/>
  </r>
  <r>
    <x v="2"/>
    <x v="10"/>
    <x v="0"/>
    <x v="119"/>
    <n v="173.8"/>
    <n v="210.7"/>
    <n v="194.5"/>
    <n v="174.6"/>
    <n v="187.2"/>
    <n v="158.30000000000001"/>
    <n v="153.9"/>
    <n v="170.9"/>
    <n v="121.1"/>
    <x v="275"/>
    <n v="171.4"/>
    <n v="191.2"/>
    <n v="176.7"/>
    <n v="198.2"/>
    <n v="184.9"/>
    <n v="177.6"/>
    <n v="183.8"/>
    <n v="172.1"/>
    <n v="182"/>
    <n v="172.9"/>
    <n v="182.3"/>
    <n v="163.6"/>
    <n v="169.5"/>
    <n v="174.3"/>
    <n v="178.6"/>
    <n v="172.8"/>
    <n v="176.5"/>
    <n v="176.33333333333334"/>
    <n v="198.2"/>
    <n v="181.25"/>
    <n v="182"/>
    <n v="172.9"/>
    <n v="163.6"/>
    <n v="169.5"/>
    <x v="3"/>
  </r>
  <r>
    <x v="0"/>
    <x v="10"/>
    <x v="1"/>
    <x v="120"/>
    <n v="174.2"/>
    <n v="205.2"/>
    <n v="173.9"/>
    <n v="177"/>
    <n v="183.4"/>
    <n v="167.2"/>
    <n v="140.9"/>
    <n v="170.4"/>
    <n v="119.1"/>
    <x v="276"/>
    <n v="177.6"/>
    <n v="189.9"/>
    <n v="174.8"/>
    <n v="198.3"/>
    <n v="190"/>
    <n v="187"/>
    <n v="189.6"/>
    <n v="173.5"/>
    <n v="181.6"/>
    <n v="178.6"/>
    <n v="186.6"/>
    <n v="169"/>
    <n v="172.8"/>
    <n v="178.5"/>
    <n v="180.7"/>
    <n v="177.9"/>
    <n v="178"/>
    <n v="174.24166666666665"/>
    <n v="198.3"/>
    <n v="188.5"/>
    <n v="181.6"/>
    <n v="178.6"/>
    <n v="169"/>
    <n v="172.8"/>
    <x v="3"/>
  </r>
  <r>
    <x v="1"/>
    <x v="10"/>
    <x v="1"/>
    <x v="120"/>
    <n v="174.7"/>
    <n v="212.2"/>
    <n v="177.2"/>
    <n v="177.9"/>
    <n v="172.2"/>
    <n v="172.1"/>
    <n v="175.8"/>
    <n v="172.2"/>
    <n v="121.9"/>
    <x v="267"/>
    <n v="164.9"/>
    <n v="196.6"/>
    <n v="180.7"/>
    <n v="202.7"/>
    <n v="180.3"/>
    <n v="167"/>
    <n v="178.2"/>
    <n v="173.5"/>
    <n v="182.8"/>
    <n v="169.2"/>
    <n v="180.8"/>
    <n v="159.80000000000001"/>
    <n v="168.4"/>
    <n v="172.5"/>
    <n v="181.4"/>
    <n v="170"/>
    <n v="176.3"/>
    <n v="176.875"/>
    <n v="202.7"/>
    <n v="173.65"/>
    <n v="182.8"/>
    <n v="169.2"/>
    <n v="159.80000000000001"/>
    <n v="168.4"/>
    <x v="3"/>
  </r>
  <r>
    <x v="2"/>
    <x v="10"/>
    <x v="1"/>
    <x v="120"/>
    <n v="174.4"/>
    <n v="207.7"/>
    <n v="175.2"/>
    <n v="177.3"/>
    <n v="179.3"/>
    <n v="169.5"/>
    <n v="152.69999999999999"/>
    <n v="171"/>
    <n v="120"/>
    <x v="277"/>
    <n v="172.3"/>
    <n v="193"/>
    <n v="177"/>
    <n v="199.5"/>
    <n v="186.2"/>
    <n v="178.7"/>
    <n v="185.1"/>
    <n v="173.5"/>
    <n v="182.1"/>
    <n v="174.2"/>
    <n v="184.4"/>
    <n v="164.2"/>
    <n v="170.3"/>
    <n v="175"/>
    <n v="181"/>
    <n v="174.1"/>
    <n v="177.2"/>
    <n v="175.17499999999998"/>
    <n v="199.5"/>
    <n v="182.45"/>
    <n v="182.1"/>
    <n v="174.2"/>
    <n v="164.2"/>
    <n v="170.3"/>
    <x v="3"/>
  </r>
  <r>
    <x v="0"/>
    <x v="10"/>
    <x v="2"/>
    <x v="121"/>
    <n v="174.3"/>
    <n v="205.2"/>
    <n v="173.9"/>
    <n v="177"/>
    <n v="183.3"/>
    <n v="167.2"/>
    <n v="140.9"/>
    <n v="170.5"/>
    <n v="119.1"/>
    <x v="276"/>
    <n v="177.6"/>
    <n v="189.9"/>
    <n v="174.8"/>
    <n v="198.4"/>
    <n v="190"/>
    <n v="187"/>
    <n v="189.6"/>
    <n v="173.5"/>
    <n v="181.4"/>
    <n v="178.6"/>
    <n v="186.6"/>
    <n v="169"/>
    <n v="172.8"/>
    <n v="178.5"/>
    <n v="180.7"/>
    <n v="177.9"/>
    <n v="178"/>
    <n v="174.25"/>
    <n v="198.4"/>
    <n v="188.5"/>
    <n v="181.4"/>
    <n v="178.6"/>
    <n v="169"/>
    <n v="172.8"/>
    <x v="3"/>
  </r>
  <r>
    <x v="1"/>
    <x v="10"/>
    <x v="2"/>
    <x v="121"/>
    <n v="174.7"/>
    <n v="212.2"/>
    <n v="177.2"/>
    <n v="177.9"/>
    <n v="172.2"/>
    <n v="172.1"/>
    <n v="175.9"/>
    <n v="172.2"/>
    <n v="121.9"/>
    <x v="267"/>
    <n v="164.9"/>
    <n v="196.6"/>
    <n v="180.8"/>
    <n v="202.7"/>
    <n v="180.2"/>
    <n v="167"/>
    <n v="178.2"/>
    <n v="173.5"/>
    <n v="182.6"/>
    <n v="169.2"/>
    <n v="180.8"/>
    <n v="159.80000000000001"/>
    <n v="168.4"/>
    <n v="172.5"/>
    <n v="181.5"/>
    <n v="170"/>
    <n v="176.3"/>
    <n v="176.88333333333333"/>
    <n v="202.7"/>
    <n v="173.6"/>
    <n v="182.6"/>
    <n v="169.2"/>
    <n v="159.80000000000001"/>
    <n v="168.4"/>
    <x v="3"/>
  </r>
  <r>
    <x v="2"/>
    <x v="10"/>
    <x v="2"/>
    <x v="121"/>
    <n v="174.4"/>
    <n v="207.7"/>
    <n v="175.2"/>
    <n v="177.3"/>
    <n v="179.2"/>
    <n v="169.5"/>
    <n v="152.80000000000001"/>
    <n v="171.1"/>
    <n v="120"/>
    <x v="277"/>
    <n v="172.3"/>
    <n v="193"/>
    <n v="177"/>
    <n v="199.5"/>
    <n v="186.1"/>
    <n v="178.7"/>
    <n v="185.1"/>
    <n v="173.5"/>
    <n v="181.9"/>
    <n v="174.2"/>
    <n v="184.4"/>
    <n v="164.2"/>
    <n v="170.3"/>
    <n v="175"/>
    <n v="181"/>
    <n v="174.1"/>
    <n v="177.2"/>
    <n v="175.18333333333331"/>
    <n v="199.5"/>
    <n v="182.39999999999998"/>
    <n v="181.9"/>
    <n v="174.2"/>
    <n v="164.2"/>
    <n v="170.3"/>
    <x v="3"/>
  </r>
  <r>
    <x v="0"/>
    <x v="10"/>
    <x v="3"/>
    <x v="122"/>
    <n v="173.3"/>
    <n v="206.9"/>
    <n v="167.9"/>
    <n v="178.2"/>
    <n v="178.5"/>
    <n v="173.7"/>
    <n v="142.80000000000001"/>
    <n v="172.8"/>
    <n v="120.4"/>
    <x v="278"/>
    <n v="178.2"/>
    <n v="190.5"/>
    <n v="175.5"/>
    <n v="199.5"/>
    <n v="190.7"/>
    <n v="187.3"/>
    <n v="190.2"/>
    <n v="175.2"/>
    <n v="181.5"/>
    <n v="179.1"/>
    <n v="187.2"/>
    <n v="169.4"/>
    <n v="173.2"/>
    <n v="179.4"/>
    <n v="183.8"/>
    <n v="178.9"/>
    <n v="178.8"/>
    <n v="174.89166666666665"/>
    <n v="199.5"/>
    <n v="189"/>
    <n v="181.5"/>
    <n v="179.1"/>
    <n v="169.4"/>
    <n v="173.2"/>
    <x v="3"/>
  </r>
  <r>
    <x v="1"/>
    <x v="10"/>
    <x v="3"/>
    <x v="122"/>
    <n v="174.8"/>
    <n v="213.7"/>
    <n v="172.4"/>
    <n v="178.8"/>
    <n v="168.7"/>
    <n v="179.2"/>
    <n v="179.9"/>
    <n v="174.7"/>
    <n v="123.1"/>
    <x v="279"/>
    <n v="165.5"/>
    <n v="197"/>
    <n v="182.1"/>
    <n v="203.5"/>
    <n v="181"/>
    <n v="167.7"/>
    <n v="178.9"/>
    <n v="175.2"/>
    <n v="182.1"/>
    <n v="169.6"/>
    <n v="181.5"/>
    <n v="160.1"/>
    <n v="168.8"/>
    <n v="174.2"/>
    <n v="184.4"/>
    <n v="170.9"/>
    <n v="177.4"/>
    <n v="177.9666666666667"/>
    <n v="203.5"/>
    <n v="174.35"/>
    <n v="182.1"/>
    <n v="169.6"/>
    <n v="160.1"/>
    <n v="168.8"/>
    <x v="3"/>
  </r>
  <r>
    <x v="2"/>
    <x v="10"/>
    <x v="3"/>
    <x v="122"/>
    <n v="173.8"/>
    <n v="209.3"/>
    <n v="169.6"/>
    <n v="178.4"/>
    <n v="174.9"/>
    <n v="176.3"/>
    <n v="155.4"/>
    <n v="173.4"/>
    <n v="121.3"/>
    <x v="280"/>
    <n v="172.9"/>
    <n v="193.5"/>
    <n v="177.9"/>
    <n v="200.6"/>
    <n v="186.9"/>
    <n v="179.2"/>
    <n v="185.7"/>
    <n v="175.2"/>
    <n v="181.7"/>
    <n v="174.6"/>
    <n v="185"/>
    <n v="164.5"/>
    <n v="170.7"/>
    <n v="176.4"/>
    <n v="184"/>
    <n v="175"/>
    <n v="178.1"/>
    <n v="175.97500000000002"/>
    <n v="200.6"/>
    <n v="183.05"/>
    <n v="181.7"/>
    <n v="174.6"/>
    <n v="164.5"/>
    <n v="170.7"/>
    <x v="3"/>
  </r>
  <r>
    <x v="0"/>
    <x v="10"/>
    <x v="4"/>
    <x v="123"/>
    <n v="173.2"/>
    <n v="211.5"/>
    <n v="171"/>
    <n v="179.6"/>
    <n v="173.3"/>
    <n v="169"/>
    <n v="148.69999999999999"/>
    <n v="174.9"/>
    <n v="121.9"/>
    <x v="281"/>
    <n v="178.7"/>
    <n v="191.1"/>
    <n v="176.8"/>
    <n v="199.9"/>
    <n v="191.2"/>
    <n v="187.9"/>
    <n v="190.8"/>
    <n v="175.6"/>
    <n v="182.5"/>
    <n v="179.8"/>
    <n v="187.8"/>
    <n v="169.7"/>
    <n v="173.8"/>
    <n v="180.3"/>
    <n v="184.9"/>
    <n v="179.5"/>
    <n v="179.8"/>
    <n v="176.15833333333339"/>
    <n v="199.9"/>
    <n v="189.55"/>
    <n v="182.5"/>
    <n v="179.8"/>
    <n v="169.7"/>
    <n v="173.8"/>
    <x v="3"/>
  </r>
  <r>
    <x v="1"/>
    <x v="10"/>
    <x v="4"/>
    <x v="123"/>
    <n v="174.7"/>
    <n v="219.4"/>
    <n v="176.7"/>
    <n v="179.4"/>
    <n v="164.4"/>
    <n v="175.8"/>
    <n v="185"/>
    <n v="176.9"/>
    <n v="124.2"/>
    <x v="282"/>
    <n v="165.9"/>
    <n v="197.7"/>
    <n v="183.1"/>
    <n v="204.2"/>
    <n v="181.3"/>
    <n v="168.1"/>
    <n v="179.3"/>
    <n v="175.6"/>
    <n v="183.4"/>
    <n v="170.1"/>
    <n v="182.2"/>
    <n v="160.4"/>
    <n v="169.2"/>
    <n v="174.8"/>
    <n v="185.6"/>
    <n v="171.6"/>
    <n v="178.2"/>
    <n v="179.33333333333334"/>
    <n v="204.2"/>
    <n v="174.7"/>
    <n v="183.4"/>
    <n v="170.1"/>
    <n v="160.4"/>
    <n v="169.2"/>
    <x v="3"/>
  </r>
  <r>
    <x v="2"/>
    <x v="10"/>
    <x v="4"/>
    <x v="123"/>
    <n v="173.7"/>
    <n v="214.3"/>
    <n v="173.2"/>
    <n v="179.5"/>
    <n v="170"/>
    <n v="172.2"/>
    <n v="161"/>
    <n v="175.6"/>
    <n v="122.7"/>
    <x v="283"/>
    <n v="173.4"/>
    <n v="194.2"/>
    <n v="179.1"/>
    <n v="201"/>
    <n v="187.3"/>
    <n v="179.7"/>
    <n v="186.2"/>
    <n v="175.6"/>
    <n v="182.8"/>
    <n v="175.2"/>
    <n v="185.7"/>
    <n v="164.8"/>
    <n v="171.2"/>
    <n v="177.1"/>
    <n v="185.2"/>
    <n v="175.7"/>
    <n v="179.1"/>
    <n v="177.31666666666669"/>
    <n v="201"/>
    <n v="183.5"/>
    <n v="182.8"/>
    <n v="175.2"/>
    <n v="164.8"/>
    <n v="171.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3D0302-4659-4C72-B7CC-B31130B34AC2}"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
  <location ref="A3:M4" firstHeaderRow="0" firstDataRow="1" firstDataCol="1" rowPageCount="1" colPageCount="1"/>
  <pivotFields count="42">
    <pivotField axis="axisPage" multipleItemSelectionAllowed="1" showAll="0" defaultSubtotal="0">
      <items count="3">
        <item h="1" x="0"/>
        <item x="2"/>
        <item h="1" x="1"/>
      </items>
    </pivotField>
    <pivotField showAll="0" defaultSubtotal="0"/>
    <pivotField showAll="0" defaultSubtotal="0"/>
    <pivotField axis="axisRow" numFmtId="17" showAll="0" defaultSubtotal="0">
      <items count="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dataField="1" showAll="0" defaultSubtotal="0"/>
    <pivotField showAll="0" defaultSubtotal="0"/>
    <pivotField showAll="0" defaultSubtotal="0"/>
    <pivotField dataField="1" showAll="0" defaultSubtotal="0"/>
    <pivotField dataField="1" showAll="0" defaultSubtotal="0"/>
    <pivotField dataField="1" showAll="0" defaultSubtotal="0"/>
    <pivotField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subtotalTop="0" showAll="0" defaultSubtotal="0"/>
    <pivotField showAll="0" defaultSubtotal="0">
      <items count="14">
        <item h="1" sd="0" x="0"/>
        <item h="1" sd="0" x="1"/>
        <item h="1" sd="0" x="2"/>
        <item h="1" sd="0" x="3"/>
        <item h="1" sd="0" x="4"/>
        <item sd="0" x="5"/>
        <item h="1" sd="0" x="6"/>
        <item h="1" sd="0" x="7"/>
        <item h="1" sd="0" x="8"/>
        <item h="1" sd="0" x="9"/>
        <item h="1" sd="0" x="10"/>
        <item h="1" sd="0" x="11"/>
        <item h="1" sd="0" x="12"/>
        <item h="1" sd="0" x="13"/>
      </items>
    </pivotField>
    <pivotField showAll="0" defaultSubtotal="0">
      <items count="6">
        <item sd="0" x="0"/>
        <item sd="0" x="1"/>
        <item sd="0" x="2"/>
        <item sd="0" x="3"/>
        <item sd="0" x="4"/>
        <item sd="0" x="5"/>
      </items>
    </pivotField>
    <pivotField showAll="0" defaultSubtotal="0">
      <items count="13">
        <item h="1" sd="0" x="0"/>
        <item h="1" sd="0" x="1"/>
        <item h="1" sd="0" x="2"/>
        <item h="1" sd="0" x="3"/>
        <item h="1" sd="0" x="4"/>
        <item h="1" sd="0" x="5"/>
        <item h="1" sd="0" x="6"/>
        <item h="1" sd="0" x="7"/>
        <item h="1" sd="0" x="8"/>
        <item h="1" sd="0" x="9"/>
        <item h="1" sd="0" x="10"/>
        <item sd="0" x="11"/>
        <item h="1" sd="0" x="12"/>
      </items>
    </pivotField>
  </pivotFields>
  <rowFields count="1">
    <field x="3"/>
  </rowFields>
  <rowItems count="1">
    <i>
      <x v="123"/>
    </i>
  </rowItems>
  <colFields count="1">
    <field x="-2"/>
  </colFields>
  <colItems count="12">
    <i>
      <x/>
    </i>
    <i i="1">
      <x v="1"/>
    </i>
    <i i="2">
      <x v="2"/>
    </i>
    <i i="3">
      <x v="3"/>
    </i>
    <i i="4">
      <x v="4"/>
    </i>
    <i i="5">
      <x v="5"/>
    </i>
    <i i="6">
      <x v="6"/>
    </i>
    <i i="7">
      <x v="7"/>
    </i>
    <i i="8">
      <x v="8"/>
    </i>
    <i i="9">
      <x v="9"/>
    </i>
    <i i="10">
      <x v="10"/>
    </i>
    <i i="11">
      <x v="11"/>
    </i>
  </colItems>
  <pageFields count="1">
    <pageField fld="0" hier="-1"/>
  </pageFields>
  <dataFields count="12">
    <dataField name="Average of Food" fld="31" subtotal="average" baseField="41" baseItem="1" numFmtId="165"/>
    <dataField name="Average of Pan, Tobacco &amp; Intoxicants" fld="32" subtotal="average" baseField="0" baseItem="0"/>
    <dataField name="Average of Clothing &amp; Footwear" fld="33" subtotal="average" baseField="0" baseItem="0"/>
    <dataField name="Average of Housing" fld="21" subtotal="average" baseField="0" baseItem="0"/>
    <dataField name="Average of Fuel &amp; Energy" fld="34" subtotal="average" baseField="0" baseItem="0"/>
    <dataField name="Average of Household" fld="35" subtotal="average" baseField="0" baseItem="0"/>
    <dataField name="Average of Health" fld="24" subtotal="average" baseField="0" baseItem="0"/>
    <dataField name="Average of Transport &amp; Communication" fld="36" subtotal="average" baseField="0" baseItem="0"/>
    <dataField name="Average of Recreation" fld="37" subtotal="average" baseField="0" baseItem="0"/>
    <dataField name="Average of Education" fld="27" subtotal="average" baseField="0" baseItem="0"/>
    <dataField name="Average of Personal care and effects" fld="28" subtotal="average" baseField="0" baseItem="0"/>
    <dataField name="Average of Miscellaneous" fld="29" subtotal="average" baseField="0" baseItem="0"/>
  </dataFields>
  <formats count="3">
    <format dxfId="11">
      <pivotArea field="41" grandRow="1" outline="0" collapsedLevelsAreSubtotals="1">
        <references count="1">
          <reference field="4294967294" count="1" selected="0">
            <x v="0"/>
          </reference>
        </references>
      </pivotArea>
    </format>
    <format dxfId="10">
      <pivotArea dataOnly="0" labelOnly="1" fieldPosition="0">
        <references count="1">
          <reference field="3" count="0"/>
        </references>
      </pivotArea>
    </format>
    <format dxfId="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filters count="1">
    <filter fld="3" type="dateBetween" evalOrder="-1" id="45" name="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741B45-613A-4E0E-9938-AFABD80A0A22}"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C88:D90" firstHeaderRow="1" firstDataRow="2" firstDataCol="1"/>
  <pivotFields count="42">
    <pivotField showAll="0">
      <items count="4">
        <item h="1" x="0"/>
        <item x="2"/>
        <item h="1" x="1"/>
        <item t="default"/>
      </items>
    </pivotField>
    <pivotField axis="axisRow" showAll="0">
      <items count="12">
        <item x="0"/>
        <item x="1"/>
        <item x="2"/>
        <item x="3"/>
        <item x="4"/>
        <item x="5"/>
        <item x="6"/>
        <item x="7"/>
        <item x="8"/>
        <item x="9"/>
        <item x="10"/>
        <item t="default"/>
      </items>
    </pivotField>
    <pivotField axis="axisCol" showAll="0">
      <items count="13">
        <item x="0"/>
        <item x="1"/>
        <item x="2"/>
        <item x="3"/>
        <item x="4"/>
        <item x="5"/>
        <item x="6"/>
        <item x="7"/>
        <item x="8"/>
        <item x="9"/>
        <item x="10"/>
        <item x="11"/>
        <item t="default"/>
      </items>
    </pivotField>
    <pivotField numFmtId="16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1"/>
  </rowFields>
  <rowItems count="1">
    <i>
      <x v="10"/>
    </i>
  </rowItems>
  <colFields count="1">
    <field x="2"/>
  </colFields>
  <colItems count="1">
    <i>
      <x v="4"/>
    </i>
  </colItems>
  <dataFields count="1">
    <dataField name="Average of General index" fld="30" subtotal="average" baseField="0" baseItem="0" numFmtId="2"/>
  </dataFields>
  <formats count="9">
    <format dxfId="20">
      <pivotArea outline="0" collapsedLevelsAreSubtotals="1" fieldPosition="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2" type="button" dataOnly="0" labelOnly="1" outline="0" axis="axisCol" fieldPosition="0"/>
    </format>
    <format dxfId="15">
      <pivotArea type="topRight" dataOnly="0" labelOnly="1" outline="0" fieldPosition="0"/>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fieldPosition="0">
        <references count="1">
          <reference field="2" count="0"/>
        </references>
      </pivotArea>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filters count="1">
    <filter fld="3" type="dateBetween" evalOrder="-1" id="14" name="Date">
      <autoFilter ref="A1">
        <filterColumn colId="0">
          <customFilters and="1">
            <customFilter operator="greaterThanOrEqual" val="45047"/>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D2E7F1-80E9-449A-ACB5-92E295217309}" name="PivotTable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3:B11" firstHeaderRow="1" firstDataRow="1" firstDataCol="1" rowPageCount="1" colPageCount="1"/>
  <pivotFields count="42">
    <pivotField axis="axisPage" multipleItemSelectionAllowed="1" showAll="0">
      <items count="4">
        <item h="1" x="0"/>
        <item x="2"/>
        <item h="1" x="1"/>
        <item t="default"/>
      </items>
    </pivotField>
    <pivotField axis="axisRow" showAll="0">
      <items count="12">
        <item h="1" sd="0" x="0"/>
        <item h="1" sd="0" x="1"/>
        <item h="1" sd="0" x="2"/>
        <item sd="0" x="3"/>
        <item sd="0" x="4"/>
        <item sd="0" x="5"/>
        <item sd="0" x="6"/>
        <item sd="0" x="7"/>
        <item sd="0" x="8"/>
        <item sd="0" x="9"/>
        <item sd="0" x="10"/>
        <item t="default"/>
      </items>
    </pivotField>
    <pivotField showAll="0"/>
    <pivotField numFmtId="16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3">
        <item sd="0" x="0"/>
        <item sd="0" x="1"/>
        <item sd="0" x="2"/>
        <item sd="0" x="3"/>
        <item sd="0" x="4"/>
        <item sd="0" x="5"/>
        <item sd="0" x="6"/>
        <item sd="0" x="7"/>
        <item sd="0" x="8"/>
        <item sd="0" x="9"/>
        <item sd="0" x="10"/>
        <item sd="0" x="11"/>
        <item sd="0" x="12"/>
      </items>
    </pivotField>
  </pivotFields>
  <rowFields count="1">
    <field x="1"/>
  </rowFields>
  <rowItems count="8">
    <i>
      <x v="3"/>
    </i>
    <i>
      <x v="4"/>
    </i>
    <i>
      <x v="5"/>
    </i>
    <i>
      <x v="6"/>
    </i>
    <i>
      <x v="7"/>
    </i>
    <i>
      <x v="8"/>
    </i>
    <i>
      <x v="9"/>
    </i>
    <i>
      <x v="10"/>
    </i>
  </rowItems>
  <colItems count="1">
    <i/>
  </colItems>
  <pageFields count="1">
    <pageField fld="0" hier="-1"/>
  </pageFields>
  <dataFields count="1">
    <dataField name="Average of General index" fld="30" subtotal="average" baseField="0" baseItem="0" numFmtId="2"/>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646DFC-33B2-4EB0-96AD-29F921481AAE}"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2:B47" firstHeaderRow="1" firstDataRow="1" firstDataCol="1" rowPageCount="1" colPageCount="1"/>
  <pivotFields count="42">
    <pivotField axis="axisPage" multipleItemSelectionAllowed="1" showAll="0" defaultSubtotal="0">
      <items count="3">
        <item h="1" x="0"/>
        <item x="2"/>
        <item h="1" x="1"/>
      </items>
    </pivotField>
    <pivotField showAll="0" defaultSubtotal="0"/>
    <pivotField showAll="0" defaultSubtotal="0"/>
    <pivotField axis="axisRow" numFmtId="164" showAll="0" defaultSubtotal="0">
      <items count="12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x="99"/>
        <item x="100"/>
        <item x="101"/>
        <item x="102"/>
        <item x="103"/>
        <item x="104"/>
        <item x="105"/>
        <item x="106"/>
        <item x="107"/>
        <item x="108"/>
        <item x="109"/>
        <item x="110"/>
        <item x="111"/>
        <item x="112"/>
        <item x="113"/>
        <item x="114"/>
        <item x="115"/>
        <item x="116"/>
        <item x="117"/>
        <item x="118"/>
        <item x="119"/>
        <item x="120"/>
        <item x="121"/>
        <item x="122"/>
        <item x="12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3">
        <item h="1" sd="0" x="0"/>
        <item h="1" sd="0" x="1"/>
        <item h="1" sd="0" x="2"/>
        <item h="1" sd="0" x="3"/>
        <item h="1" sd="0" x="4"/>
        <item h="1" sd="0" x="5"/>
        <item h="1" sd="0" x="6"/>
        <item h="1" sd="0" x="7"/>
        <item h="1" sd="0" x="8"/>
        <item h="1" sd="0" x="9"/>
        <item sd="0" x="10"/>
        <item sd="0" x="11"/>
        <item sd="0" x="12"/>
      </items>
    </pivotField>
  </pivotFields>
  <rowFields count="1">
    <field x="3"/>
  </rowFields>
  <rowItems count="25">
    <i>
      <x v="99"/>
    </i>
    <i>
      <x v="100"/>
    </i>
    <i>
      <x v="101"/>
    </i>
    <i>
      <x v="102"/>
    </i>
    <i>
      <x v="103"/>
    </i>
    <i>
      <x v="104"/>
    </i>
    <i>
      <x v="105"/>
    </i>
    <i>
      <x v="106"/>
    </i>
    <i>
      <x v="107"/>
    </i>
    <i>
      <x v="108"/>
    </i>
    <i>
      <x v="109"/>
    </i>
    <i>
      <x v="110"/>
    </i>
    <i>
      <x v="111"/>
    </i>
    <i>
      <x v="112"/>
    </i>
    <i>
      <x v="113"/>
    </i>
    <i>
      <x v="114"/>
    </i>
    <i>
      <x v="115"/>
    </i>
    <i>
      <x v="116"/>
    </i>
    <i>
      <x v="117"/>
    </i>
    <i>
      <x v="118"/>
    </i>
    <i>
      <x v="119"/>
    </i>
    <i>
      <x v="120"/>
    </i>
    <i>
      <x v="121"/>
    </i>
    <i>
      <x v="122"/>
    </i>
    <i>
      <x v="123"/>
    </i>
  </rowItems>
  <colItems count="1">
    <i/>
  </colItems>
  <pageFields count="1">
    <pageField fld="0" hier="-1"/>
  </pageFields>
  <dataFields count="1">
    <dataField name="Average of Food" fld="31" subtotal="average"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AA54A2-AE13-4A09-AA25-5A5D1B57099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6" firstHeaderRow="1" firstDataRow="1" firstDataCol="1" rowPageCount="1" colPageCount="1"/>
  <pivotFields count="42">
    <pivotField axis="axisPage" multipleItemSelectionAllowed="1" showAll="0" defaultSubtotal="0">
      <items count="3">
        <item h="1" x="0"/>
        <item x="2"/>
        <item h="1" x="1"/>
      </items>
    </pivotField>
    <pivotField showAll="0" defaultSubtotal="0"/>
    <pivotField showAll="0" defaultSubtotal="0"/>
    <pivotField axis="axisRow" numFmtId="164" showAll="0" defaultSubtotal="0">
      <items count="12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x="111"/>
        <item x="112"/>
        <item x="113"/>
        <item x="114"/>
        <item x="115"/>
        <item x="116"/>
        <item x="117"/>
        <item x="118"/>
        <item x="119"/>
        <item x="120"/>
        <item x="121"/>
        <item x="122"/>
        <item x="12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3">
        <item h="1" sd="0" x="0"/>
        <item h="1" sd="0" x="1"/>
        <item h="1" sd="0" x="2"/>
        <item h="1" sd="0" x="3"/>
        <item h="1" sd="0" x="4"/>
        <item h="1" sd="0" x="5"/>
        <item h="1" sd="0" x="6"/>
        <item h="1" sd="0" x="7"/>
        <item h="1" sd="0" x="8"/>
        <item h="1" sd="0" x="9"/>
        <item sd="0" x="10"/>
        <item sd="0" x="11"/>
        <item sd="0" x="12"/>
      </items>
    </pivotField>
  </pivotFields>
  <rowFields count="1">
    <field x="3"/>
  </rowFields>
  <rowItems count="13">
    <i>
      <x v="111"/>
    </i>
    <i>
      <x v="112"/>
    </i>
    <i>
      <x v="113"/>
    </i>
    <i>
      <x v="114"/>
    </i>
    <i>
      <x v="115"/>
    </i>
    <i>
      <x v="116"/>
    </i>
    <i>
      <x v="117"/>
    </i>
    <i>
      <x v="118"/>
    </i>
    <i>
      <x v="119"/>
    </i>
    <i>
      <x v="120"/>
    </i>
    <i>
      <x v="121"/>
    </i>
    <i>
      <x v="122"/>
    </i>
    <i>
      <x v="123"/>
    </i>
  </rowItems>
  <colItems count="1">
    <i/>
  </colItems>
  <pageFields count="1">
    <pageField fld="0" hier="-1"/>
  </pageFields>
  <dataFields count="1">
    <dataField name="Average of Food" fld="31" subtotal="average" baseField="0" baseItem="0" numFmtId="2"/>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E8594F-84E7-41C0-B16E-F2D51D43CECE}"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30:P32" firstHeaderRow="0" firstDataRow="1" firstDataCol="1" rowPageCount="1" colPageCount="1"/>
  <pivotFields count="42">
    <pivotField axis="axisPage" multipleItemSelectionAllowed="1" showAll="0" defaultSubtotal="0">
      <items count="3">
        <item h="1" x="0"/>
        <item x="2"/>
        <item h="1" x="1"/>
      </items>
    </pivotField>
    <pivotField showAll="0" defaultSubtotal="0"/>
    <pivotField showAll="0" defaultSubtotal="0"/>
    <pivotField axis="axisRow" numFmtId="164" showAll="0" defaultSubtotal="0">
      <items count="12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x="112"/>
        <item h="1" x="113"/>
        <item h="1" x="114"/>
        <item h="1" x="115"/>
        <item h="1" x="116"/>
        <item h="1" x="117"/>
        <item h="1" x="118"/>
        <item h="1" x="119"/>
        <item h="1" x="120"/>
        <item h="1" x="121"/>
        <item h="1" x="122"/>
        <item x="123"/>
      </items>
    </pivotField>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3">
        <item h="1" sd="0" x="0"/>
        <item h="1" sd="0" x="1"/>
        <item h="1" sd="0" x="2"/>
        <item h="1" sd="0" x="3"/>
        <item h="1" sd="0" x="4"/>
        <item h="1" sd="0" x="5"/>
        <item h="1" sd="0" x="6"/>
        <item h="1" sd="0" x="7"/>
        <item h="1" sd="0" x="8"/>
        <item h="1" sd="0" x="9"/>
        <item sd="0" x="10"/>
        <item sd="0" x="11"/>
        <item sd="0" x="12"/>
      </items>
    </pivotField>
  </pivotFields>
  <rowFields count="1">
    <field x="3"/>
  </rowFields>
  <rowItems count="2">
    <i>
      <x v="112"/>
    </i>
    <i>
      <x v="123"/>
    </i>
  </rowItems>
  <colFields count="1">
    <field x="-2"/>
  </colFields>
  <colItems count="12">
    <i>
      <x/>
    </i>
    <i i="1">
      <x v="1"/>
    </i>
    <i i="2">
      <x v="2"/>
    </i>
    <i i="3">
      <x v="3"/>
    </i>
    <i i="4">
      <x v="4"/>
    </i>
    <i i="5">
      <x v="5"/>
    </i>
    <i i="6">
      <x v="6"/>
    </i>
    <i i="7">
      <x v="7"/>
    </i>
    <i i="8">
      <x v="8"/>
    </i>
    <i i="9">
      <x v="9"/>
    </i>
    <i i="10">
      <x v="10"/>
    </i>
    <i i="11">
      <x v="11"/>
    </i>
  </colItems>
  <pageFields count="1">
    <pageField fld="0" hier="-1"/>
  </pageFields>
  <dataFields count="12">
    <dataField name="Average of Cereals and products" fld="4" subtotal="average" baseField="0" baseItem="0"/>
    <dataField name="Average of Meat and fish" fld="5" subtotal="average" baseField="0" baseItem="0"/>
    <dataField name="Average of Egg" fld="6" subtotal="average" baseField="0" baseItem="0"/>
    <dataField name="Average of Milk and products" fld="7" subtotal="average" baseField="0" baseItem="0"/>
    <dataField name="Average of Oils and fats" fld="8" subtotal="average" baseField="0" baseItem="0"/>
    <dataField name="Average of Fruits" fld="9" subtotal="average" baseField="0" baseItem="0"/>
    <dataField name="Average of Vegetables" fld="10" subtotal="average" baseField="0" baseItem="0"/>
    <dataField name="Average of Pulses and products" fld="11" subtotal="average" baseField="0" baseItem="0"/>
    <dataField name="Average of Sugar and Confectionery" fld="12" subtotal="average" baseField="0" baseItem="0"/>
    <dataField name="Average of Spices" fld="13" subtotal="average" baseField="0" baseItem="0"/>
    <dataField name="Average of Nonalcoholic beverages" fld="14" subtotal="average" baseField="0" baseItem="0"/>
    <dataField name="Average of Prepared meals, snacks, sweets etc." fld="15" subtotal="average" baseField="0" baseItem="0"/>
  </dataFields>
  <formats count="1">
    <format dxfId="7">
      <pivotArea outline="0" collapsedLevelsAreSubtotals="1" fieldPosition="0"/>
    </format>
  </formats>
  <conditionalFormats count="12">
    <conditionalFormat priority="1">
      <pivotAreas count="1">
        <pivotArea type="data" collapsedLevelsAreSubtotals="1" fieldPosition="0">
          <references count="1">
            <reference field="3" count="1">
              <x v="123"/>
            </reference>
          </references>
        </pivotArea>
      </pivotAreas>
    </conditionalFormat>
    <conditionalFormat priority="2">
      <pivotAreas count="1">
        <pivotArea type="data" collapsedLevelsAreSubtotals="1" fieldPosition="0">
          <references count="1">
            <reference field="3" count="1">
              <x v="122"/>
            </reference>
          </references>
        </pivotArea>
      </pivotAreas>
    </conditionalFormat>
    <conditionalFormat priority="3">
      <pivotAreas count="1">
        <pivotArea type="data" collapsedLevelsAreSubtotals="1" fieldPosition="0">
          <references count="1">
            <reference field="3" count="1">
              <x v="121"/>
            </reference>
          </references>
        </pivotArea>
      </pivotAreas>
    </conditionalFormat>
    <conditionalFormat priority="4">
      <pivotAreas count="1">
        <pivotArea type="data" collapsedLevelsAreSubtotals="1" fieldPosition="0">
          <references count="1">
            <reference field="3" count="1">
              <x v="120"/>
            </reference>
          </references>
        </pivotArea>
      </pivotAreas>
    </conditionalFormat>
    <conditionalFormat priority="5">
      <pivotAreas count="1">
        <pivotArea type="data" collapsedLevelsAreSubtotals="1" fieldPosition="0">
          <references count="1">
            <reference field="3" count="1">
              <x v="119"/>
            </reference>
          </references>
        </pivotArea>
      </pivotAreas>
    </conditionalFormat>
    <conditionalFormat priority="6">
      <pivotAreas count="1">
        <pivotArea type="data" collapsedLevelsAreSubtotals="1" fieldPosition="0">
          <references count="1">
            <reference field="3" count="1">
              <x v="118"/>
            </reference>
          </references>
        </pivotArea>
      </pivotAreas>
    </conditionalFormat>
    <conditionalFormat priority="7">
      <pivotAreas count="1">
        <pivotArea type="data" collapsedLevelsAreSubtotals="1" fieldPosition="0">
          <references count="1">
            <reference field="3" count="1">
              <x v="117"/>
            </reference>
          </references>
        </pivotArea>
      </pivotAreas>
    </conditionalFormat>
    <conditionalFormat priority="8">
      <pivotAreas count="1">
        <pivotArea type="data" collapsedLevelsAreSubtotals="1" fieldPosition="0">
          <references count="1">
            <reference field="3" count="1">
              <x v="116"/>
            </reference>
          </references>
        </pivotArea>
      </pivotAreas>
    </conditionalFormat>
    <conditionalFormat priority="9">
      <pivotAreas count="1">
        <pivotArea type="data" collapsedLevelsAreSubtotals="1" fieldPosition="0">
          <references count="1">
            <reference field="3" count="1">
              <x v="115"/>
            </reference>
          </references>
        </pivotArea>
      </pivotAreas>
    </conditionalFormat>
    <conditionalFormat priority="10">
      <pivotAreas count="1">
        <pivotArea type="data" collapsedLevelsAreSubtotals="1" fieldPosition="0">
          <references count="1">
            <reference field="3" count="1">
              <x v="114"/>
            </reference>
          </references>
        </pivotArea>
      </pivotAreas>
    </conditionalFormat>
    <conditionalFormat priority="11">
      <pivotAreas count="1">
        <pivotArea type="data" collapsedLevelsAreSubtotals="1" fieldPosition="0">
          <references count="1">
            <reference field="3" count="1">
              <x v="113"/>
            </reference>
          </references>
        </pivotArea>
      </pivotAreas>
    </conditionalFormat>
    <conditionalFormat priority="12">
      <pivotAreas count="1">
        <pivotArea type="data" collapsedLevelsAreSubtotals="1" fieldPosition="0">
          <references count="1">
            <reference field="3" count="1">
              <x v="1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A2EF6C-2A48-4659-BF0B-0C52516C94AB}"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72:A76" firstHeaderRow="1" firstDataRow="1" firstDataCol="1" rowPageCount="1" colPageCount="1"/>
  <pivotFields count="42">
    <pivotField axis="axisPage" multipleItemSelectionAllowed="1" showAll="0">
      <items count="4">
        <item h="1" x="0"/>
        <item x="2"/>
        <item h="1" x="1"/>
        <item t="default"/>
      </items>
    </pivotField>
    <pivotField showAll="0"/>
    <pivotField showAll="0"/>
    <pivotField numFmtId="164" showAll="0">
      <items count="12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3"/>
        <item x="0"/>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3">
        <item sd="0" x="0"/>
        <item sd="0" x="1"/>
        <item sd="0" x="2"/>
        <item sd="0" x="3"/>
        <item sd="0" x="4"/>
        <item sd="0" x="5"/>
        <item sd="0" x="6"/>
        <item sd="0" x="7"/>
        <item sd="0" x="8"/>
        <item sd="0" x="9"/>
        <item sd="0" x="10"/>
        <item sd="0" x="11"/>
        <item sd="0" x="12"/>
      </items>
    </pivotField>
  </pivotFields>
  <rowFields count="1">
    <field x="38"/>
  </rowFields>
  <rowItems count="4">
    <i>
      <x/>
    </i>
    <i>
      <x v="1"/>
    </i>
    <i>
      <x v="2"/>
    </i>
    <i>
      <x v="3"/>
    </i>
  </rowItems>
  <colItems count="1">
    <i/>
  </colItems>
  <pageFields count="1">
    <pageField fld="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EE961D-6420-4EAF-A439-F4FBA5C94045}"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3:J67" firstHeaderRow="0" firstDataRow="1" firstDataCol="1" rowPageCount="1" colPageCount="1"/>
  <pivotFields count="42">
    <pivotField axis="axisPage" multipleItemSelectionAllowed="1" showAll="0">
      <items count="4">
        <item h="1" x="0"/>
        <item x="2"/>
        <item h="1" x="1"/>
        <item t="default"/>
      </items>
    </pivotField>
    <pivotField showAll="0"/>
    <pivotField showAll="0"/>
    <pivotField axis="axisRow" numFmtId="164" showAll="0">
      <items count="12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dataField="1" showAll="0"/>
    <pivotField showAll="0"/>
    <pivotField showAll="0"/>
    <pivotField dataField="1" showAll="0"/>
    <pivotField dataField="1" showAll="0"/>
    <pivotField showAll="0"/>
    <pivotField dataField="1" showAll="0"/>
    <pivotField dataField="1" showAll="0"/>
    <pivotField showAll="0"/>
    <pivotField showAll="0"/>
    <pivotField dataField="1" showAll="0"/>
    <pivotField showAll="0"/>
    <pivotField dataField="1" showAll="0"/>
    <pivotField showAll="0"/>
    <pivotField showAll="0">
      <items count="5">
        <item x="1"/>
        <item x="2"/>
        <item x="3"/>
        <item x="0"/>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3">
        <item sd="0" x="0"/>
        <item sd="0" x="1"/>
        <item sd="0" x="2"/>
        <item sd="0" x="3"/>
        <item sd="0" x="4"/>
        <item sd="0" x="5"/>
        <item sd="0" x="6"/>
        <item sd="0" x="7"/>
        <item sd="0" x="8"/>
        <item sd="0" x="9"/>
        <item sd="0" x="10"/>
        <item sd="0" x="11"/>
        <item sd="0" x="12"/>
      </items>
    </pivotField>
  </pivotFields>
  <rowFields count="1">
    <field x="3"/>
  </rowFields>
  <rowItems count="64">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rowItems>
  <colFields count="1">
    <field x="-2"/>
  </colFields>
  <colItems count="9">
    <i>
      <x/>
    </i>
    <i i="1">
      <x v="1"/>
    </i>
    <i i="2">
      <x v="2"/>
    </i>
    <i i="3">
      <x v="3"/>
    </i>
    <i i="4">
      <x v="4"/>
    </i>
    <i i="5">
      <x v="5"/>
    </i>
    <i i="6">
      <x v="6"/>
    </i>
    <i i="7">
      <x v="7"/>
    </i>
    <i i="8">
      <x v="8"/>
    </i>
  </colItems>
  <pageFields count="1">
    <pageField fld="0" hier="-1"/>
  </pageFields>
  <dataFields count="9">
    <dataField name="Average of General index" fld="30" subtotal="average" baseField="0" baseItem="0"/>
    <dataField name="Average of Food" fld="31" subtotal="average" baseField="0" baseItem="0" numFmtId="165"/>
    <dataField name="Average of Health" fld="24" subtotal="average" baseField="0" baseItem="0" numFmtId="165"/>
    <dataField name="Average of Transport &amp; Communication" fld="36" subtotal="average" baseField="0" baseItem="0" numFmtId="165"/>
    <dataField name="Average of Fuel &amp; Energy" fld="34" subtotal="average" baseField="0" baseItem="0"/>
    <dataField name="Average of Personal care and effects" fld="28" subtotal="average" baseField="0" baseItem="0"/>
    <dataField name="Average of Housing" fld="21" subtotal="average" baseField="0" baseItem="0"/>
    <dataField name="Average of Pan, tobacco and intoxicants" fld="17" subtotal="average" baseField="0" baseItem="0"/>
    <dataField name="Average of Education" fld="27" subtotal="average" baseField="0" baseItem="0"/>
  </dataFields>
  <formats count="5">
    <format dxfId="4">
      <pivotArea collapsedLevelsAreSubtotals="1" fieldPosition="0">
        <references count="1">
          <reference field="3" count="2">
            <x v="86"/>
            <x v="87"/>
          </reference>
        </references>
      </pivotArea>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3"/>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590AD1-26E6-4AC4-8706-E1E7A3E15DA0}"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3:B127" firstHeaderRow="1" firstDataRow="1" firstDataCol="1" rowPageCount="1" colPageCount="1"/>
  <pivotFields count="42">
    <pivotField axis="axisPage" multipleItemSelectionAllowed="1" showAll="0">
      <items count="4">
        <item h="1" x="0"/>
        <item x="2"/>
        <item h="1" x="1"/>
        <item t="default"/>
      </items>
    </pivotField>
    <pivotField showAll="0"/>
    <pivotField showAll="0"/>
    <pivotField axis="axisRow" numFmtId="16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3">
        <item sd="0" x="0"/>
        <item sd="0" x="1"/>
        <item sd="0" x="2"/>
        <item sd="0" x="3"/>
        <item sd="0" x="4"/>
        <item sd="0" x="5"/>
        <item sd="0" x="6"/>
        <item sd="0" x="7"/>
        <item sd="0" x="8"/>
        <item sd="0" x="9"/>
        <item sd="0" x="10"/>
        <item sd="0" x="11"/>
        <item sd="0" x="12"/>
      </items>
    </pivotField>
  </pivotFields>
  <rowFields count="1">
    <field x="3"/>
  </rowFields>
  <rowItems count="1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rowItems>
  <colItems count="1">
    <i/>
  </colItems>
  <pageFields count="1">
    <pageField fld="0" hier="-1"/>
  </pageFields>
  <dataFields count="1">
    <dataField name="Average of General index" fld="30" subtotal="average" baseField="0" baseItem="0"/>
  </dataFields>
  <chartFormats count="4">
    <chartFormat chart="7"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A6632F-1ADB-4205-BC63-0C796A9FABEC}"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G127" firstHeaderRow="0" firstDataRow="1" firstDataCol="1" rowPageCount="1" colPageCount="1"/>
  <pivotFields count="42">
    <pivotField axis="axisPage" multipleItemSelectionAllowed="1" showAll="0">
      <items count="4">
        <item h="1" x="0"/>
        <item x="2"/>
        <item h="1" x="1"/>
        <item t="default"/>
      </items>
    </pivotField>
    <pivotField showAll="0"/>
    <pivotField showAll="0"/>
    <pivotField axis="axisRow" numFmtId="16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dataField="1" showAll="0"/>
    <pivotField showAll="0"/>
    <pivotField showAll="0"/>
    <pivotField showAll="0"/>
    <pivotField dataField="1" showAll="0"/>
    <pivotField showAll="0"/>
    <pivotField showAll="0"/>
    <pivotField dataField="1" showAll="0"/>
    <pivotField showAll="0"/>
    <pivotField dataField="1"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3">
        <item sd="0" x="0"/>
        <item sd="0" x="1"/>
        <item sd="0" x="2"/>
        <item sd="0" x="3"/>
        <item sd="0" x="4"/>
        <item sd="0" x="5"/>
        <item sd="0" x="6"/>
        <item sd="0" x="7"/>
        <item sd="0" x="8"/>
        <item sd="0" x="9"/>
        <item sd="0" x="10"/>
        <item sd="0" x="11"/>
        <item sd="0" x="12"/>
      </items>
    </pivotField>
  </pivotFields>
  <rowFields count="1">
    <field x="3"/>
  </rowFields>
  <rowItems count="1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rowItems>
  <colFields count="1">
    <field x="-2"/>
  </colFields>
  <colItems count="6">
    <i>
      <x/>
    </i>
    <i i="1">
      <x v="1"/>
    </i>
    <i i="2">
      <x v="2"/>
    </i>
    <i i="3">
      <x v="3"/>
    </i>
    <i i="4">
      <x v="4"/>
    </i>
    <i i="5">
      <x v="5"/>
    </i>
  </colItems>
  <pageFields count="1">
    <pageField fld="0" hier="-1"/>
  </pageFields>
  <dataFields count="6">
    <dataField name="Average of Food" fld="31" subtotal="average" baseField="0" baseItem="0"/>
    <dataField name="Average of Housing" fld="21" subtotal="average" baseField="0" baseItem="0"/>
    <dataField name="Average of Fuel &amp; Energy" fld="34" subtotal="average" baseField="0" baseItem="0"/>
    <dataField name="Average of Health" fld="24" subtotal="average" baseField="0" baseItem="0"/>
    <dataField name="Average of Transport &amp; Communication" fld="36" subtotal="average" baseField="0" baseItem="0"/>
    <dataField name="Average of Education" fld="27" subtotal="average" baseField="0" baseItem="0"/>
  </dataFields>
  <formats count="1">
    <format dxfId="21">
      <pivotArea outline="0" collapsedLevelsAreSubtotals="1" fieldPosition="0"/>
    </format>
  </format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series="1">
      <pivotArea type="data" outline="0" fieldPosition="0">
        <references count="1">
          <reference field="4294967294" count="1" selected="0">
            <x v="3"/>
          </reference>
        </references>
      </pivotArea>
    </chartFormat>
    <chartFormat chart="2" format="10" series="1">
      <pivotArea type="data" outline="0" fieldPosition="0">
        <references count="1">
          <reference field="4294967294" count="1" selected="0">
            <x v="4"/>
          </reference>
        </references>
      </pivotArea>
    </chartFormat>
    <chartFormat chart="2" format="11" series="1">
      <pivotArea type="data" outline="0" fieldPosition="0">
        <references count="1">
          <reference field="4294967294" count="1" selected="0">
            <x v="5"/>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 chart="3" format="16" series="1">
      <pivotArea type="data" outline="0" fieldPosition="0">
        <references count="1">
          <reference field="4294967294" count="1" selected="0">
            <x v="4"/>
          </reference>
        </references>
      </pivotArea>
    </chartFormat>
    <chartFormat chart="3" format="17" series="1">
      <pivotArea type="data" outline="0" fieldPosition="0">
        <references count="1">
          <reference field="4294967294" count="1" selected="0">
            <x v="5"/>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 chart="4" format="15" series="1">
      <pivotArea type="data" outline="0" fieldPosition="0">
        <references count="1">
          <reference field="4294967294" count="1" selected="0">
            <x v="3"/>
          </reference>
        </references>
      </pivotArea>
    </chartFormat>
    <chartFormat chart="4" format="16" series="1">
      <pivotArea type="data" outline="0" fieldPosition="0">
        <references count="1">
          <reference field="4294967294" count="1" selected="0">
            <x v="4"/>
          </reference>
        </references>
      </pivotArea>
    </chartFormat>
    <chartFormat chart="4"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D6322F-97C9-4C80-86DA-81FFDC94C827}"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4:G5" firstHeaderRow="0" firstDataRow="1" firstDataCol="1" rowPageCount="1" colPageCount="1"/>
  <pivotFields count="42">
    <pivotField axis="axisPage" multipleItemSelectionAllowed="1" showAll="0">
      <items count="4">
        <item h="1" x="0"/>
        <item x="2"/>
        <item h="1" x="1"/>
        <item t="default"/>
      </items>
    </pivotField>
    <pivotField multipleItemSelectionAllowed="1" showAll="0"/>
    <pivotField multipleItemSelectionAllowed="1" showAll="0"/>
    <pivotField axis="axisRow" numFmtId="164" showAll="0">
      <items count="12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dataField="1" showAll="0"/>
    <pivotField showAll="0"/>
    <pivotField dataField="1"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3">
        <item sd="0" x="0"/>
        <item sd="0" x="1"/>
        <item sd="0" x="2"/>
        <item sd="0" x="3"/>
        <item sd="0" x="4"/>
        <item sd="0" x="5"/>
        <item sd="0" x="6"/>
        <item sd="0" x="7"/>
        <item sd="0" x="8"/>
        <item sd="0" x="9"/>
        <item sd="0" x="10"/>
        <item sd="0" x="11"/>
        <item sd="0" x="12"/>
      </items>
    </pivotField>
  </pivotFields>
  <rowFields count="1">
    <field x="3"/>
  </rowFields>
  <rowItems count="1">
    <i>
      <x v="94"/>
    </i>
  </rowItems>
  <colFields count="1">
    <field x="-2"/>
  </colFields>
  <colItems count="6">
    <i>
      <x/>
    </i>
    <i i="1">
      <x v="1"/>
    </i>
    <i i="2">
      <x v="2"/>
    </i>
    <i i="3">
      <x v="3"/>
    </i>
    <i i="4">
      <x v="4"/>
    </i>
    <i i="5">
      <x v="5"/>
    </i>
  </colItems>
  <pageFields count="1">
    <pageField fld="0" hier="-1"/>
  </pageFields>
  <dataFields count="6">
    <dataField name="Average of Oils and fats" fld="8" subtotal="average" baseField="0" baseItem="0"/>
    <dataField name="Average of Food" fld="31" subtotal="average" baseField="0" baseItem="0"/>
    <dataField name="Average of Health" fld="24" subtotal="average" baseField="0" baseItem="0"/>
    <dataField name="Average of Housing" fld="21" subtotal="average" baseField="0" baseItem="0"/>
    <dataField name="Average of Fuel &amp; Energy" fld="34" subtotal="average" baseField="0" baseItem="0"/>
    <dataField name="Average of Transport &amp; Communication" fld="3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5255D94B-8F5B-4E40-A920-4C40D8CCE544}" sourceName="Sector">
  <pivotTables>
    <pivotTable tabId="5" name="PivotTable2"/>
    <pivotTable tabId="7" name="PivotTable20"/>
    <pivotTable tabId="5" name="PivotTable1"/>
    <pivotTable tabId="8" name="PivotTable21"/>
  </pivotTables>
  <data>
    <tabular pivotCacheId="796630202">
      <items count="3">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1" xr10:uid="{7FC384C3-0289-45C1-9BFE-C8027985CF58}" sourceName="Sector">
  <pivotTables>
    <pivotTable tabId="12" name="PivotTable7"/>
  </pivotTables>
  <data>
    <tabular pivotCacheId="796630202">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vid_Period" xr10:uid="{A90F7D49-C41C-4A5F-8B56-F0351EBBD2EE}" sourceName="Covid Period">
  <pivotTables>
    <pivotTable tabId="13" name="PivotTable2"/>
    <pivotTable tabId="13" name="PivotTable5"/>
  </pivotTables>
  <data>
    <tabular pivotCacheId="796630202">
      <items count="4">
        <i x="1"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99BEC61-FED1-4F44-B908-B7FCF89850F8}" sourceName="Year">
  <data>
    <tabular pivotCacheId="796630202">
      <items count="11">
        <i x="0"/>
        <i x="1"/>
        <i x="2"/>
        <i x="3"/>
        <i x="4"/>
        <i x="5"/>
        <i x="6"/>
        <i x="7"/>
        <i x="8"/>
        <i x="9"/>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E2DA14F8-5330-4AFC-BC8F-80B702CAFC35}" cache="Slicer_Sector" caption="Sector" rowHeight="251883"/>
  <slicer name="Year" xr10:uid="{529F60B7-C4CA-479C-968E-397B5E63EECE}" cache="Slicer_Year" caption="Year" startItem="6" columnCount="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1" xr10:uid="{C1F68782-DE5A-4966-8F08-B17EF19C2489}" cache="Slicer_Sector1" caption="Sector"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vid Period" xr10:uid="{792C39F3-A247-4E8B-828D-22A01318590A}" cache="Slicer_Covid_Period" caption="Covid Period"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AA650A-CD81-4564-BA79-BD8D7C6D990D}" name="Table1" displayName="Table1" ref="A1:AM373" totalsRowShown="0">
  <autoFilter ref="A1:AM373" xr:uid="{AAAA650A-CD81-4564-BA79-BD8D7C6D990D}"/>
  <tableColumns count="39">
    <tableColumn id="1" xr3:uid="{A3D80320-085C-46EC-8F3E-D7C42B3D571B}" name="Sector"/>
    <tableColumn id="2" xr3:uid="{D29A4E03-A338-4C4E-A100-2FFA8BB06394}" name="Year"/>
    <tableColumn id="3" xr3:uid="{E81AFD1E-8D2A-4446-878D-54AC12EB4406}" name="Month"/>
    <tableColumn id="4" xr3:uid="{C670B3DB-45EB-4FB9-87D2-DB1456A4D0D9}" name="Date" dataDxfId="25">
      <calculatedColumnFormula>DATE(B2,MATCH(C2,{"January","February","March","April","May","June","July","August","September","October","November","December"},0),1)</calculatedColumnFormula>
    </tableColumn>
    <tableColumn id="5" xr3:uid="{B82EA38A-B973-482D-A422-5820CFCA92AE}" name="Cereals and products"/>
    <tableColumn id="6" xr3:uid="{86DC9A51-2577-47BA-BCE1-F08A2E7C33A0}" name="Meat and fish"/>
    <tableColumn id="7" xr3:uid="{20065D20-F155-4917-9291-77CEF684559F}" name="Egg"/>
    <tableColumn id="8" xr3:uid="{F2E22B75-97AB-4909-8C2B-1324E582B671}" name="Milk and products"/>
    <tableColumn id="9" xr3:uid="{5A06E55C-4C5C-4A27-81D9-07CC26BCED15}" name="Oils and fats"/>
    <tableColumn id="10" xr3:uid="{BDB401B7-4AFC-47C8-B2A7-0221C4B4A387}" name="Fruits"/>
    <tableColumn id="11" xr3:uid="{46966E63-4039-4C16-A174-E6277889AB87}" name="Vegetables"/>
    <tableColumn id="12" xr3:uid="{F1759853-F198-41BB-B141-60FF21C91757}" name="Pulses and products"/>
    <tableColumn id="13" xr3:uid="{2D7C6701-FD68-4E4F-B285-B29E9D080657}" name="Sugar and Confectionery"/>
    <tableColumn id="14" xr3:uid="{C6BE4DE3-1327-4437-9FE6-C8FA2BA3F10E}" name="Spices"/>
    <tableColumn id="15" xr3:uid="{E9B81A9C-5F64-4BAB-BB99-881678B1E048}" name="Nonalcoholic beverages"/>
    <tableColumn id="16" xr3:uid="{6882586C-FE00-489C-AE1B-B8C584022BB4}" name="Prepared meals, snacks, sweets etc."/>
    <tableColumn id="17" xr3:uid="{5F604764-6FBB-41B1-857E-00706A70FB83}" name="Food and beverages"/>
    <tableColumn id="18" xr3:uid="{8FCDF070-F348-49A5-B886-85A53177D6BC}" name="Pan, tobacco and intoxicants"/>
    <tableColumn id="19" xr3:uid="{F97794E6-C332-4ACF-B3F3-81391AD6ABCB}" name="Clothing"/>
    <tableColumn id="20" xr3:uid="{BB475BFE-8A48-47C7-8456-7704D05301DC}" name="Footwear"/>
    <tableColumn id="21" xr3:uid="{A34226D3-967D-400F-BF3F-B4C8E96AC5F3}" name="Clothing and footwear"/>
    <tableColumn id="22" xr3:uid="{E228B37F-2547-4919-8D3A-B6AD3DC83C06}" name="Housing"/>
    <tableColumn id="23" xr3:uid="{FAAFE033-F29B-4309-ADB2-ECF4A6E9184A}" name="Fuel and light"/>
    <tableColumn id="24" xr3:uid="{21FD4DD8-08D8-43D4-8029-19CC6C71C934}" name="Household goods and services"/>
    <tableColumn id="25" xr3:uid="{F874F86C-CAAF-4C65-A335-2B6787635226}" name="Health"/>
    <tableColumn id="26" xr3:uid="{EDCEE7CA-0B3C-43DA-A08F-935C2C1A7578}" name="Transport and communication"/>
    <tableColumn id="27" xr3:uid="{29BDE671-ADB0-4FF2-A187-15DF8C84DB04}" name="Recreation and amusement"/>
    <tableColumn id="28" xr3:uid="{FA1E70D9-5ECC-4D18-8BC1-1512058B703B}" name="Education"/>
    <tableColumn id="29" xr3:uid="{7C919291-17EB-42E4-B2E4-E95CB9062FC6}" name="Personal care and effects"/>
    <tableColumn id="30" xr3:uid="{06C28B8B-0011-41C1-8C04-DE5BC0B66B73}" name="Miscellaneous"/>
    <tableColumn id="31" xr3:uid="{A8729605-EFB9-45D7-835C-6ECD4E718340}" name="General index"/>
    <tableColumn id="32" xr3:uid="{E15C665D-A500-4677-B34D-4E7533972EE1}" name="Food" dataDxfId="24">
      <calculatedColumnFormula>AVERAGE(E2:P2)</calculatedColumnFormula>
    </tableColumn>
    <tableColumn id="33" xr3:uid="{DEF1DB25-13BC-41F6-977C-2A26F54E4E7B}" name="Pan, Tobacco &amp; Intoxicants"/>
    <tableColumn id="34" xr3:uid="{C5C628E1-21D1-4846-B2B4-95820819F188}" name="Clothing &amp; Footwear" dataDxfId="23">
      <calculatedColumnFormula>AVERAGE(Table1[[#This Row],[Clothing]:[Footwear]])</calculatedColumnFormula>
    </tableColumn>
    <tableColumn id="35" xr3:uid="{F0577AA3-FBF3-4EC5-BFBF-4183737595D5}" name="Fuel &amp; Energy"/>
    <tableColumn id="36" xr3:uid="{16DC23FD-001F-49DA-9C5E-05E0292C75FB}" name="Household"/>
    <tableColumn id="37" xr3:uid="{0380DDA4-2AC0-4440-8185-AF56BDD03F74}" name="Transport &amp; Communication"/>
    <tableColumn id="38" xr3:uid="{FC9A5FE7-B021-4AEC-8EB6-A17FB74B9BD8}" name="Recreation"/>
    <tableColumn id="40" xr3:uid="{2734B392-3BCE-4396-B3E5-7621F4C70F44}" name="Covid Period" dataDxfId="22">
      <calculatedColumnFormula>IF(D2&lt;DATE(2020,3,1),"Pre-COVID",IF(D2=DATE(2020,3,1),"COVID Onset",IF(D2&lt;=DATE(2020,5,31),"Lockdown","Post-COVID")))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DE87E56-A97B-40BB-89BB-8BAAB0349EC0}" sourceName="Date">
  <pivotTables>
    <pivotTable tabId="5" name="PivotTable2"/>
    <pivotTable tabId="5" name="PivotTable1"/>
  </pivotTables>
  <state minimalRefreshVersion="6" lastRefreshVersion="6" pivotCacheId="796630202" filterType="dateBetween">
    <selection startDate="2023-05-01T00:00:00" endDate="2023-05-31T00:00:00"/>
    <bounds startDate="201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B2F8384-1B27-43E6-B0A7-FCED4D2F3D42}" cache="NativeTimeline_Date" caption="Date" level="2" selectionLevel="2" scrollPosition="2023-05-01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07/relationships/slicer" Target="../slicers/slicer3.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EE54D-E87A-406F-A661-58B2C8B71086}">
  <dimension ref="A1:AD373"/>
  <sheetViews>
    <sheetView zoomScale="64" workbookViewId="0">
      <selection activeCell="B1" sqref="B1"/>
    </sheetView>
  </sheetViews>
  <sheetFormatPr defaultRowHeight="14.5" x14ac:dyDescent="0.35"/>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3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3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3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3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3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5">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5">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35">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35">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35">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35">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5">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3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3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3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3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3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autoFilter ref="A1:AD373" xr:uid="{E57EE54D-E87A-406F-A661-58B2C8B7108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54ECF-CD91-4EBF-82FF-F8AB5BD9DCF5}">
  <dimension ref="A1:AM373"/>
  <sheetViews>
    <sheetView zoomScale="53" workbookViewId="0">
      <selection sqref="A1:D1048576"/>
    </sheetView>
  </sheetViews>
  <sheetFormatPr defaultRowHeight="14.5" x14ac:dyDescent="0.35"/>
  <cols>
    <col min="1" max="1" width="10.90625" bestFit="1" customWidth="1"/>
    <col min="2" max="2" width="6.81640625" bestFit="1" customWidth="1"/>
    <col min="3" max="3" width="9.6328125" bestFit="1" customWidth="1"/>
    <col min="4" max="4" width="11.08984375" bestFit="1" customWidth="1"/>
    <col min="5" max="5" width="21" bestFit="1" customWidth="1"/>
    <col min="6" max="6" width="14.26953125" bestFit="1" customWidth="1"/>
    <col min="7" max="7" width="6.81640625" bestFit="1" customWidth="1"/>
    <col min="8" max="8" width="18.08984375" bestFit="1" customWidth="1"/>
    <col min="9" max="9" width="13.453125" bestFit="1" customWidth="1"/>
    <col min="10" max="10" width="7.90625" bestFit="1" customWidth="1"/>
    <col min="11" max="11" width="15" bestFit="1" customWidth="1"/>
    <col min="12" max="12" width="20.1796875" bestFit="1" customWidth="1"/>
    <col min="13" max="13" width="23.81640625" bestFit="1" customWidth="1"/>
    <col min="14" max="14" width="8.7265625" bestFit="1" customWidth="1"/>
    <col min="15" max="15" width="23.1796875" bestFit="1" customWidth="1"/>
    <col min="16" max="16" width="33.6328125" bestFit="1" customWidth="1"/>
    <col min="17" max="17" width="19.7265625" bestFit="1" customWidth="1"/>
    <col min="18" max="18" width="27.54296875" bestFit="1" customWidth="1"/>
    <col min="19" max="19" width="10.1796875" bestFit="1" customWidth="1"/>
    <col min="20" max="20" width="10.7265625" bestFit="1" customWidth="1"/>
    <col min="21" max="21" width="21.54296875" bestFit="1" customWidth="1"/>
    <col min="22" max="22" width="9.90625" bestFit="1" customWidth="1"/>
    <col min="23" max="23" width="14.36328125" bestFit="1" customWidth="1"/>
    <col min="24" max="24" width="28.54296875" bestFit="1" customWidth="1"/>
    <col min="25" max="25" width="8.6328125" bestFit="1" customWidth="1"/>
    <col min="26" max="26" width="28.54296875" bestFit="1" customWidth="1"/>
    <col min="27" max="27" width="26.36328125" bestFit="1" customWidth="1"/>
    <col min="28" max="28" width="11.54296875" bestFit="1" customWidth="1"/>
    <col min="29" max="29" width="24.36328125" bestFit="1" customWidth="1"/>
    <col min="30" max="30" width="15.26953125" bestFit="1" customWidth="1"/>
    <col min="31" max="31" width="14.6328125" bestFit="1" customWidth="1"/>
    <col min="32" max="32" width="11.81640625" bestFit="1" customWidth="1"/>
    <col min="33" max="33" width="27.6328125" bestFit="1" customWidth="1"/>
    <col min="34" max="34" width="22" bestFit="1" customWidth="1"/>
    <col min="35" max="35" width="16.36328125" bestFit="1" customWidth="1"/>
    <col min="36" max="36" width="14.36328125" bestFit="1" customWidth="1"/>
    <col min="37" max="37" width="28.6328125" bestFit="1" customWidth="1"/>
    <col min="38" max="38" width="14" bestFit="1" customWidth="1"/>
    <col min="39" max="39" width="16" bestFit="1" customWidth="1"/>
  </cols>
  <sheetData>
    <row r="1" spans="1:39" x14ac:dyDescent="0.35">
      <c r="A1" t="s">
        <v>0</v>
      </c>
      <c r="B1" t="s">
        <v>1</v>
      </c>
      <c r="C1" t="s">
        <v>2</v>
      </c>
      <c r="D1" t="s">
        <v>49</v>
      </c>
      <c r="E1" t="s">
        <v>3</v>
      </c>
      <c r="F1" t="s">
        <v>4</v>
      </c>
      <c r="G1" t="s">
        <v>5</v>
      </c>
      <c r="H1" t="s">
        <v>6</v>
      </c>
      <c r="I1" t="s">
        <v>7</v>
      </c>
      <c r="J1" t="s">
        <v>8</v>
      </c>
      <c r="K1" t="s">
        <v>9</v>
      </c>
      <c r="L1" t="s">
        <v>10</v>
      </c>
      <c r="M1" t="s">
        <v>11</v>
      </c>
      <c r="N1" t="s">
        <v>12</v>
      </c>
      <c r="O1" t="s">
        <v>50</v>
      </c>
      <c r="P1" t="s">
        <v>14</v>
      </c>
      <c r="Q1" t="s">
        <v>15</v>
      </c>
      <c r="R1" t="s">
        <v>16</v>
      </c>
      <c r="S1" t="s">
        <v>17</v>
      </c>
      <c r="T1" t="s">
        <v>18</v>
      </c>
      <c r="U1" t="s">
        <v>19</v>
      </c>
      <c r="V1" t="s">
        <v>20</v>
      </c>
      <c r="W1" t="s">
        <v>21</v>
      </c>
      <c r="X1" t="s">
        <v>22</v>
      </c>
      <c r="Y1" t="s">
        <v>23</v>
      </c>
      <c r="Z1" t="s">
        <v>24</v>
      </c>
      <c r="AA1" t="s">
        <v>25</v>
      </c>
      <c r="AB1" t="s">
        <v>26</v>
      </c>
      <c r="AC1" t="s">
        <v>27</v>
      </c>
      <c r="AD1" t="s">
        <v>28</v>
      </c>
      <c r="AE1" t="s">
        <v>29</v>
      </c>
      <c r="AF1" s="90" t="s">
        <v>51</v>
      </c>
      <c r="AG1" s="90" t="s">
        <v>52</v>
      </c>
      <c r="AH1" s="90" t="s">
        <v>53</v>
      </c>
      <c r="AI1" s="90" t="s">
        <v>54</v>
      </c>
      <c r="AJ1" s="90" t="s">
        <v>55</v>
      </c>
      <c r="AK1" s="90" t="s">
        <v>56</v>
      </c>
      <c r="AL1" s="90" t="s">
        <v>57</v>
      </c>
      <c r="AM1" s="90" t="s">
        <v>180</v>
      </c>
    </row>
    <row r="2" spans="1:39" x14ac:dyDescent="0.35">
      <c r="A2" t="s">
        <v>30</v>
      </c>
      <c r="B2">
        <v>2013</v>
      </c>
      <c r="C2" t="s">
        <v>31</v>
      </c>
      <c r="D2" s="4">
        <f>DATE(B2,MATCH(C2,{"January","February","March","April","May","June","July","August","September","October","November","December"},0),1)</f>
        <v>41275</v>
      </c>
      <c r="E2">
        <v>107.5</v>
      </c>
      <c r="F2">
        <v>106.3</v>
      </c>
      <c r="G2">
        <v>108.1</v>
      </c>
      <c r="H2">
        <v>104.9</v>
      </c>
      <c r="I2">
        <v>106.1</v>
      </c>
      <c r="J2">
        <v>103.9</v>
      </c>
      <c r="K2">
        <v>101.9</v>
      </c>
      <c r="L2">
        <v>106.1</v>
      </c>
      <c r="M2">
        <v>106.8</v>
      </c>
      <c r="N2">
        <v>103.1</v>
      </c>
      <c r="O2">
        <v>104.8</v>
      </c>
      <c r="P2">
        <v>106.7</v>
      </c>
      <c r="Q2">
        <v>105.5</v>
      </c>
      <c r="R2">
        <v>105.1</v>
      </c>
      <c r="S2">
        <v>106.5</v>
      </c>
      <c r="T2">
        <v>105.8</v>
      </c>
      <c r="U2">
        <v>106.4</v>
      </c>
      <c r="V2">
        <v>100.3</v>
      </c>
      <c r="W2">
        <v>105.5</v>
      </c>
      <c r="X2">
        <v>104.8</v>
      </c>
      <c r="Y2">
        <v>104</v>
      </c>
      <c r="Z2">
        <v>103.3</v>
      </c>
      <c r="AA2">
        <v>103.4</v>
      </c>
      <c r="AB2">
        <v>103.8</v>
      </c>
      <c r="AC2">
        <v>104.7</v>
      </c>
      <c r="AD2">
        <v>104</v>
      </c>
      <c r="AE2">
        <v>105.1</v>
      </c>
      <c r="AF2">
        <f t="shared" ref="AF2:AF65" si="0">AVERAGE(E2:P2)</f>
        <v>105.51666666666665</v>
      </c>
      <c r="AG2">
        <v>105.1</v>
      </c>
      <c r="AH2">
        <f>AVERAGE(Table1[[#This Row],[Clothing]:[Footwear]])</f>
        <v>106.15</v>
      </c>
      <c r="AI2">
        <v>105.5</v>
      </c>
      <c r="AJ2">
        <v>104.8</v>
      </c>
      <c r="AK2">
        <v>103.3</v>
      </c>
      <c r="AL2">
        <v>103.4</v>
      </c>
      <c r="AM2" t="str">
        <f t="shared" ref="AM2:AM65" si="1">IF(D2&lt;DATE(2020,3,1),"Pre-COVID",IF(D2=DATE(2020,3,1),"COVID Onset",IF(D2&lt;=DATE(2020,5,31),"Lockdown","Post-COVID")))</f>
        <v>Pre-COVID</v>
      </c>
    </row>
    <row r="3" spans="1:39" x14ac:dyDescent="0.35">
      <c r="A3" t="s">
        <v>33</v>
      </c>
      <c r="B3">
        <v>2013</v>
      </c>
      <c r="C3" t="s">
        <v>31</v>
      </c>
      <c r="D3" s="4">
        <f>DATE(B3,MATCH(C3,{"January","February","March","April","May","June","July","August","September","October","November","December"},0),1)</f>
        <v>41275</v>
      </c>
      <c r="E3">
        <v>110.5</v>
      </c>
      <c r="F3">
        <v>109.1</v>
      </c>
      <c r="G3">
        <v>113</v>
      </c>
      <c r="H3">
        <v>103.6</v>
      </c>
      <c r="I3">
        <v>103.4</v>
      </c>
      <c r="J3">
        <v>102.3</v>
      </c>
      <c r="K3">
        <v>102.9</v>
      </c>
      <c r="L3">
        <v>105.8</v>
      </c>
      <c r="M3">
        <v>105.1</v>
      </c>
      <c r="N3">
        <v>101.8</v>
      </c>
      <c r="O3">
        <v>105.1</v>
      </c>
      <c r="P3">
        <v>107.9</v>
      </c>
      <c r="Q3">
        <v>105.9</v>
      </c>
      <c r="R3">
        <v>105.2</v>
      </c>
      <c r="S3">
        <v>105.9</v>
      </c>
      <c r="T3">
        <v>105</v>
      </c>
      <c r="U3">
        <v>105.8</v>
      </c>
      <c r="V3">
        <v>100.3</v>
      </c>
      <c r="W3">
        <v>105.4</v>
      </c>
      <c r="X3">
        <v>104.8</v>
      </c>
      <c r="Y3">
        <v>104.1</v>
      </c>
      <c r="Z3">
        <v>103.2</v>
      </c>
      <c r="AA3">
        <v>102.9</v>
      </c>
      <c r="AB3">
        <v>103.5</v>
      </c>
      <c r="AC3">
        <v>104.3</v>
      </c>
      <c r="AD3">
        <v>103.7</v>
      </c>
      <c r="AE3">
        <v>104</v>
      </c>
      <c r="AF3">
        <f t="shared" si="0"/>
        <v>105.875</v>
      </c>
      <c r="AG3">
        <v>105.2</v>
      </c>
      <c r="AH3">
        <f>AVERAGE(Table1[[#This Row],[Clothing]:[Footwear]])</f>
        <v>105.45</v>
      </c>
      <c r="AI3">
        <v>105.4</v>
      </c>
      <c r="AJ3">
        <v>104.8</v>
      </c>
      <c r="AK3">
        <v>103.2</v>
      </c>
      <c r="AL3">
        <v>102.9</v>
      </c>
      <c r="AM3" t="str">
        <f t="shared" si="1"/>
        <v>Pre-COVID</v>
      </c>
    </row>
    <row r="4" spans="1:39" x14ac:dyDescent="0.35">
      <c r="A4" t="s">
        <v>34</v>
      </c>
      <c r="B4">
        <v>2013</v>
      </c>
      <c r="C4" t="s">
        <v>31</v>
      </c>
      <c r="D4" s="4">
        <f>DATE(B4,MATCH(C4,{"January","February","March","April","May","June","July","August","September","October","November","December"},0),1)</f>
        <v>41275</v>
      </c>
      <c r="E4">
        <v>108.4</v>
      </c>
      <c r="F4">
        <v>107.3</v>
      </c>
      <c r="G4">
        <v>110</v>
      </c>
      <c r="H4">
        <v>104.4</v>
      </c>
      <c r="I4">
        <v>105.1</v>
      </c>
      <c r="J4">
        <v>103.2</v>
      </c>
      <c r="K4">
        <v>102.2</v>
      </c>
      <c r="L4">
        <v>106</v>
      </c>
      <c r="M4">
        <v>106.2</v>
      </c>
      <c r="N4">
        <v>102.7</v>
      </c>
      <c r="O4">
        <v>104.9</v>
      </c>
      <c r="P4">
        <v>107.3</v>
      </c>
      <c r="Q4">
        <v>105.6</v>
      </c>
      <c r="R4">
        <v>105.1</v>
      </c>
      <c r="S4">
        <v>106.3</v>
      </c>
      <c r="T4">
        <v>105.5</v>
      </c>
      <c r="U4">
        <v>106.2</v>
      </c>
      <c r="V4">
        <v>100.3</v>
      </c>
      <c r="W4">
        <v>105.5</v>
      </c>
      <c r="X4">
        <v>104.8</v>
      </c>
      <c r="Y4">
        <v>104</v>
      </c>
      <c r="Z4">
        <v>103.2</v>
      </c>
      <c r="AA4">
        <v>103.1</v>
      </c>
      <c r="AB4">
        <v>103.6</v>
      </c>
      <c r="AC4">
        <v>104.5</v>
      </c>
      <c r="AD4">
        <v>103.9</v>
      </c>
      <c r="AE4">
        <v>104.6</v>
      </c>
      <c r="AF4">
        <f t="shared" si="0"/>
        <v>105.64166666666669</v>
      </c>
      <c r="AG4">
        <v>105.1</v>
      </c>
      <c r="AH4">
        <f>AVERAGE(Table1[[#This Row],[Clothing]:[Footwear]])</f>
        <v>105.9</v>
      </c>
      <c r="AI4">
        <v>105.5</v>
      </c>
      <c r="AJ4">
        <v>104.8</v>
      </c>
      <c r="AK4">
        <v>103.2</v>
      </c>
      <c r="AL4">
        <v>103.1</v>
      </c>
      <c r="AM4" t="str">
        <f t="shared" si="1"/>
        <v>Pre-COVID</v>
      </c>
    </row>
    <row r="5" spans="1:39" x14ac:dyDescent="0.35">
      <c r="A5" t="s">
        <v>30</v>
      </c>
      <c r="B5">
        <v>2013</v>
      </c>
      <c r="C5" t="s">
        <v>35</v>
      </c>
      <c r="D5" s="4">
        <f>DATE(B5,MATCH(C5,{"January","February","March","April","May","June","July","August","September","October","November","December"},0),1)</f>
        <v>41306</v>
      </c>
      <c r="E5">
        <v>109.2</v>
      </c>
      <c r="F5">
        <v>108.7</v>
      </c>
      <c r="G5">
        <v>110.2</v>
      </c>
      <c r="H5">
        <v>105.4</v>
      </c>
      <c r="I5">
        <v>106.7</v>
      </c>
      <c r="J5">
        <v>104</v>
      </c>
      <c r="K5">
        <v>102.4</v>
      </c>
      <c r="L5">
        <v>105.9</v>
      </c>
      <c r="M5">
        <v>105.7</v>
      </c>
      <c r="N5">
        <v>103.1</v>
      </c>
      <c r="O5">
        <v>105.1</v>
      </c>
      <c r="P5">
        <v>107.7</v>
      </c>
      <c r="Q5">
        <v>106.3</v>
      </c>
      <c r="R5">
        <v>105.6</v>
      </c>
      <c r="S5">
        <v>107.1</v>
      </c>
      <c r="T5">
        <v>106.3</v>
      </c>
      <c r="U5">
        <v>107</v>
      </c>
      <c r="V5">
        <v>100.4</v>
      </c>
      <c r="W5">
        <v>106.2</v>
      </c>
      <c r="X5">
        <v>105.2</v>
      </c>
      <c r="Y5">
        <v>104.4</v>
      </c>
      <c r="Z5">
        <v>103.9</v>
      </c>
      <c r="AA5">
        <v>104</v>
      </c>
      <c r="AB5">
        <v>104.1</v>
      </c>
      <c r="AC5">
        <v>104.6</v>
      </c>
      <c r="AD5">
        <v>104.4</v>
      </c>
      <c r="AE5">
        <v>105.8</v>
      </c>
      <c r="AF5">
        <f t="shared" si="0"/>
        <v>106.175</v>
      </c>
      <c r="AG5">
        <v>105.6</v>
      </c>
      <c r="AH5">
        <f>AVERAGE(Table1[[#This Row],[Clothing]:[Footwear]])</f>
        <v>106.69999999999999</v>
      </c>
      <c r="AI5">
        <v>106.2</v>
      </c>
      <c r="AJ5">
        <v>105.2</v>
      </c>
      <c r="AK5">
        <v>103.9</v>
      </c>
      <c r="AL5">
        <v>104</v>
      </c>
      <c r="AM5" t="str">
        <f t="shared" si="1"/>
        <v>Pre-COVID</v>
      </c>
    </row>
    <row r="6" spans="1:39" x14ac:dyDescent="0.35">
      <c r="A6" t="s">
        <v>33</v>
      </c>
      <c r="B6">
        <v>2013</v>
      </c>
      <c r="C6" t="s">
        <v>35</v>
      </c>
      <c r="D6" s="4">
        <f>DATE(B6,MATCH(C6,{"January","February","March","April","May","June","July","August","September","October","November","December"},0),1)</f>
        <v>41306</v>
      </c>
      <c r="E6">
        <v>112.9</v>
      </c>
      <c r="F6">
        <v>112.9</v>
      </c>
      <c r="G6">
        <v>116.9</v>
      </c>
      <c r="H6">
        <v>104</v>
      </c>
      <c r="I6">
        <v>103.5</v>
      </c>
      <c r="J6">
        <v>103.1</v>
      </c>
      <c r="K6">
        <v>104.9</v>
      </c>
      <c r="L6">
        <v>104.1</v>
      </c>
      <c r="M6">
        <v>103.8</v>
      </c>
      <c r="N6">
        <v>102.3</v>
      </c>
      <c r="O6">
        <v>106</v>
      </c>
      <c r="P6">
        <v>109</v>
      </c>
      <c r="Q6">
        <v>107.2</v>
      </c>
      <c r="R6">
        <v>106</v>
      </c>
      <c r="S6">
        <v>106.6</v>
      </c>
      <c r="T6">
        <v>105.5</v>
      </c>
      <c r="U6">
        <v>106.4</v>
      </c>
      <c r="V6">
        <v>100.4</v>
      </c>
      <c r="W6">
        <v>105.7</v>
      </c>
      <c r="X6">
        <v>105.2</v>
      </c>
      <c r="Y6">
        <v>104.7</v>
      </c>
      <c r="Z6">
        <v>104.4</v>
      </c>
      <c r="AA6">
        <v>103.3</v>
      </c>
      <c r="AB6">
        <v>103.7</v>
      </c>
      <c r="AC6">
        <v>104.3</v>
      </c>
      <c r="AD6">
        <v>104.3</v>
      </c>
      <c r="AE6">
        <v>104.7</v>
      </c>
      <c r="AF6">
        <f t="shared" si="0"/>
        <v>106.95</v>
      </c>
      <c r="AG6">
        <v>106</v>
      </c>
      <c r="AH6">
        <f>AVERAGE(Table1[[#This Row],[Clothing]:[Footwear]])</f>
        <v>106.05</v>
      </c>
      <c r="AI6">
        <v>105.7</v>
      </c>
      <c r="AJ6">
        <v>105.2</v>
      </c>
      <c r="AK6">
        <v>104.4</v>
      </c>
      <c r="AL6">
        <v>103.3</v>
      </c>
      <c r="AM6" t="str">
        <f t="shared" si="1"/>
        <v>Pre-COVID</v>
      </c>
    </row>
    <row r="7" spans="1:39" x14ac:dyDescent="0.35">
      <c r="A7" t="s">
        <v>34</v>
      </c>
      <c r="B7">
        <v>2013</v>
      </c>
      <c r="C7" t="s">
        <v>35</v>
      </c>
      <c r="D7" s="4">
        <f>DATE(B7,MATCH(C7,{"January","February","March","April","May","June","July","August","September","October","November","December"},0),1)</f>
        <v>41306</v>
      </c>
      <c r="E7">
        <v>110.4</v>
      </c>
      <c r="F7">
        <v>110.2</v>
      </c>
      <c r="G7">
        <v>112.8</v>
      </c>
      <c r="H7">
        <v>104.9</v>
      </c>
      <c r="I7">
        <v>105.5</v>
      </c>
      <c r="J7">
        <v>103.6</v>
      </c>
      <c r="K7">
        <v>103.2</v>
      </c>
      <c r="L7">
        <v>105.3</v>
      </c>
      <c r="M7">
        <v>105.1</v>
      </c>
      <c r="N7">
        <v>102.8</v>
      </c>
      <c r="O7">
        <v>105.5</v>
      </c>
      <c r="P7">
        <v>108.3</v>
      </c>
      <c r="Q7">
        <v>106.6</v>
      </c>
      <c r="R7">
        <v>105.7</v>
      </c>
      <c r="S7">
        <v>106.9</v>
      </c>
      <c r="T7">
        <v>106</v>
      </c>
      <c r="U7">
        <v>106.8</v>
      </c>
      <c r="V7">
        <v>100.4</v>
      </c>
      <c r="W7">
        <v>106</v>
      </c>
      <c r="X7">
        <v>105.2</v>
      </c>
      <c r="Y7">
        <v>104.5</v>
      </c>
      <c r="Z7">
        <v>104.2</v>
      </c>
      <c r="AA7">
        <v>103.6</v>
      </c>
      <c r="AB7">
        <v>103.9</v>
      </c>
      <c r="AC7">
        <v>104.5</v>
      </c>
      <c r="AD7">
        <v>104.4</v>
      </c>
      <c r="AE7">
        <v>105.3</v>
      </c>
      <c r="AF7">
        <f t="shared" si="0"/>
        <v>106.46666666666668</v>
      </c>
      <c r="AG7">
        <v>105.7</v>
      </c>
      <c r="AH7">
        <f>AVERAGE(Table1[[#This Row],[Clothing]:[Footwear]])</f>
        <v>106.45</v>
      </c>
      <c r="AI7">
        <v>106</v>
      </c>
      <c r="AJ7">
        <v>105.2</v>
      </c>
      <c r="AK7">
        <v>104.2</v>
      </c>
      <c r="AL7">
        <v>103.6</v>
      </c>
      <c r="AM7" t="str">
        <f t="shared" si="1"/>
        <v>Pre-COVID</v>
      </c>
    </row>
    <row r="8" spans="1:39" x14ac:dyDescent="0.35">
      <c r="A8" t="s">
        <v>30</v>
      </c>
      <c r="B8">
        <v>2013</v>
      </c>
      <c r="C8" t="s">
        <v>36</v>
      </c>
      <c r="D8" s="4">
        <f>DATE(B8,MATCH(C8,{"January","February","March","April","May","June","July","August","September","October","November","December"},0),1)</f>
        <v>41334</v>
      </c>
      <c r="E8">
        <v>110.2</v>
      </c>
      <c r="F8">
        <v>108.8</v>
      </c>
      <c r="G8">
        <v>109.9</v>
      </c>
      <c r="H8">
        <v>105.6</v>
      </c>
      <c r="I8">
        <v>106.2</v>
      </c>
      <c r="J8">
        <v>105.7</v>
      </c>
      <c r="K8">
        <v>101.4</v>
      </c>
      <c r="L8">
        <v>105.7</v>
      </c>
      <c r="M8">
        <v>105</v>
      </c>
      <c r="N8">
        <v>103.3</v>
      </c>
      <c r="O8">
        <v>105.6</v>
      </c>
      <c r="P8">
        <v>108.2</v>
      </c>
      <c r="Q8">
        <v>106.6</v>
      </c>
      <c r="R8">
        <v>106.5</v>
      </c>
      <c r="S8">
        <v>107.6</v>
      </c>
      <c r="T8">
        <v>106.8</v>
      </c>
      <c r="U8">
        <v>107.5</v>
      </c>
      <c r="V8">
        <v>100.4</v>
      </c>
      <c r="W8">
        <v>106.1</v>
      </c>
      <c r="X8">
        <v>105.6</v>
      </c>
      <c r="Y8">
        <v>104.7</v>
      </c>
      <c r="Z8">
        <v>104.6</v>
      </c>
      <c r="AA8">
        <v>104</v>
      </c>
      <c r="AB8">
        <v>104.3</v>
      </c>
      <c r="AC8">
        <v>104.3</v>
      </c>
      <c r="AD8">
        <v>104.6</v>
      </c>
      <c r="AE8">
        <v>106</v>
      </c>
      <c r="AF8">
        <f t="shared" si="0"/>
        <v>106.30000000000001</v>
      </c>
      <c r="AG8">
        <v>106.5</v>
      </c>
      <c r="AH8">
        <f>AVERAGE(Table1[[#This Row],[Clothing]:[Footwear]])</f>
        <v>107.19999999999999</v>
      </c>
      <c r="AI8">
        <v>106.1</v>
      </c>
      <c r="AJ8">
        <v>105.6</v>
      </c>
      <c r="AK8">
        <v>104.6</v>
      </c>
      <c r="AL8">
        <v>104</v>
      </c>
      <c r="AM8" t="str">
        <f t="shared" si="1"/>
        <v>Pre-COVID</v>
      </c>
    </row>
    <row r="9" spans="1:39" x14ac:dyDescent="0.35">
      <c r="A9" t="s">
        <v>33</v>
      </c>
      <c r="B9">
        <v>2013</v>
      </c>
      <c r="C9" t="s">
        <v>36</v>
      </c>
      <c r="D9" s="4">
        <f>DATE(B9,MATCH(C9,{"January","February","March","April","May","June","July","August","September","October","November","December"},0),1)</f>
        <v>41334</v>
      </c>
      <c r="E9">
        <v>113.9</v>
      </c>
      <c r="F9">
        <v>111.4</v>
      </c>
      <c r="G9">
        <v>113.2</v>
      </c>
      <c r="H9">
        <v>104.3</v>
      </c>
      <c r="I9">
        <v>102.7</v>
      </c>
      <c r="J9">
        <v>104.9</v>
      </c>
      <c r="K9">
        <v>103.8</v>
      </c>
      <c r="L9">
        <v>103.5</v>
      </c>
      <c r="M9">
        <v>102.6</v>
      </c>
      <c r="N9">
        <v>102.4</v>
      </c>
      <c r="O9">
        <v>107</v>
      </c>
      <c r="P9">
        <v>109.8</v>
      </c>
      <c r="Q9">
        <v>107.3</v>
      </c>
      <c r="R9">
        <v>106.8</v>
      </c>
      <c r="S9">
        <v>107.2</v>
      </c>
      <c r="T9">
        <v>106</v>
      </c>
      <c r="U9">
        <v>107</v>
      </c>
      <c r="V9">
        <v>100.4</v>
      </c>
      <c r="W9">
        <v>106</v>
      </c>
      <c r="X9">
        <v>105.7</v>
      </c>
      <c r="Y9">
        <v>105.2</v>
      </c>
      <c r="Z9">
        <v>105.5</v>
      </c>
      <c r="AA9">
        <v>103.5</v>
      </c>
      <c r="AB9">
        <v>103.8</v>
      </c>
      <c r="AC9">
        <v>104.2</v>
      </c>
      <c r="AD9">
        <v>104.9</v>
      </c>
      <c r="AE9">
        <v>105</v>
      </c>
      <c r="AF9">
        <f t="shared" si="0"/>
        <v>106.625</v>
      </c>
      <c r="AG9">
        <v>106.8</v>
      </c>
      <c r="AH9">
        <f>AVERAGE(Table1[[#This Row],[Clothing]:[Footwear]])</f>
        <v>106.6</v>
      </c>
      <c r="AI9">
        <v>106</v>
      </c>
      <c r="AJ9">
        <v>105.7</v>
      </c>
      <c r="AK9">
        <v>105.5</v>
      </c>
      <c r="AL9">
        <v>103.5</v>
      </c>
      <c r="AM9" t="str">
        <f t="shared" si="1"/>
        <v>Pre-COVID</v>
      </c>
    </row>
    <row r="10" spans="1:39" x14ac:dyDescent="0.35">
      <c r="A10" t="s">
        <v>34</v>
      </c>
      <c r="B10">
        <v>2013</v>
      </c>
      <c r="C10" t="s">
        <v>36</v>
      </c>
      <c r="D10" s="4">
        <f>DATE(B10,MATCH(C10,{"January","February","March","April","May","June","July","August","September","October","November","December"},0),1)</f>
        <v>41334</v>
      </c>
      <c r="E10">
        <v>111.4</v>
      </c>
      <c r="F10">
        <v>109.7</v>
      </c>
      <c r="G10">
        <v>111.2</v>
      </c>
      <c r="H10">
        <v>105.1</v>
      </c>
      <c r="I10">
        <v>104.9</v>
      </c>
      <c r="J10">
        <v>105.3</v>
      </c>
      <c r="K10">
        <v>102.2</v>
      </c>
      <c r="L10">
        <v>105</v>
      </c>
      <c r="M10">
        <v>104.2</v>
      </c>
      <c r="N10">
        <v>103</v>
      </c>
      <c r="O10">
        <v>106.2</v>
      </c>
      <c r="P10">
        <v>108.9</v>
      </c>
      <c r="Q10">
        <v>106.9</v>
      </c>
      <c r="R10">
        <v>106.6</v>
      </c>
      <c r="S10">
        <v>107.4</v>
      </c>
      <c r="T10">
        <v>106.5</v>
      </c>
      <c r="U10">
        <v>107.3</v>
      </c>
      <c r="V10">
        <v>100.4</v>
      </c>
      <c r="W10">
        <v>106.1</v>
      </c>
      <c r="X10">
        <v>105.6</v>
      </c>
      <c r="Y10">
        <v>104.9</v>
      </c>
      <c r="Z10">
        <v>105.1</v>
      </c>
      <c r="AA10">
        <v>103.7</v>
      </c>
      <c r="AB10">
        <v>104</v>
      </c>
      <c r="AC10">
        <v>104.3</v>
      </c>
      <c r="AD10">
        <v>104.7</v>
      </c>
      <c r="AE10">
        <v>105.5</v>
      </c>
      <c r="AF10">
        <f t="shared" si="0"/>
        <v>106.42500000000001</v>
      </c>
      <c r="AG10">
        <v>106.6</v>
      </c>
      <c r="AH10">
        <f>AVERAGE(Table1[[#This Row],[Clothing]:[Footwear]])</f>
        <v>106.95</v>
      </c>
      <c r="AI10">
        <v>106.1</v>
      </c>
      <c r="AJ10">
        <v>105.6</v>
      </c>
      <c r="AK10">
        <v>105.1</v>
      </c>
      <c r="AL10">
        <v>103.7</v>
      </c>
      <c r="AM10" t="str">
        <f t="shared" si="1"/>
        <v>Pre-COVID</v>
      </c>
    </row>
    <row r="11" spans="1:39" x14ac:dyDescent="0.35">
      <c r="A11" t="s">
        <v>30</v>
      </c>
      <c r="B11">
        <v>2013</v>
      </c>
      <c r="C11" t="s">
        <v>37</v>
      </c>
      <c r="D11" s="4">
        <f>DATE(B11,MATCH(C11,{"January","February","March","April","May","June","July","August","September","October","November","December"},0),1)</f>
        <v>41365</v>
      </c>
      <c r="E11">
        <v>110.2</v>
      </c>
      <c r="F11">
        <v>109.5</v>
      </c>
      <c r="G11">
        <v>106.9</v>
      </c>
      <c r="H11">
        <v>106.3</v>
      </c>
      <c r="I11">
        <v>105.7</v>
      </c>
      <c r="J11">
        <v>108.3</v>
      </c>
      <c r="K11">
        <v>103.4</v>
      </c>
      <c r="L11">
        <v>105.7</v>
      </c>
      <c r="M11">
        <v>104.2</v>
      </c>
      <c r="N11">
        <v>103.2</v>
      </c>
      <c r="O11">
        <v>106.5</v>
      </c>
      <c r="P11">
        <v>108.8</v>
      </c>
      <c r="Q11">
        <v>107.1</v>
      </c>
      <c r="R11">
        <v>107.1</v>
      </c>
      <c r="S11">
        <v>108.1</v>
      </c>
      <c r="T11">
        <v>107.4</v>
      </c>
      <c r="U11">
        <v>108</v>
      </c>
      <c r="V11">
        <v>100.5</v>
      </c>
      <c r="W11">
        <v>106.5</v>
      </c>
      <c r="X11">
        <v>106.1</v>
      </c>
      <c r="Y11">
        <v>105.1</v>
      </c>
      <c r="Z11">
        <v>104.4</v>
      </c>
      <c r="AA11">
        <v>104.5</v>
      </c>
      <c r="AB11">
        <v>104.8</v>
      </c>
      <c r="AC11">
        <v>102.7</v>
      </c>
      <c r="AD11">
        <v>104.6</v>
      </c>
      <c r="AE11">
        <v>106.4</v>
      </c>
      <c r="AF11">
        <f t="shared" si="0"/>
        <v>106.55833333333334</v>
      </c>
      <c r="AG11">
        <v>107.1</v>
      </c>
      <c r="AH11">
        <f>AVERAGE(Table1[[#This Row],[Clothing]:[Footwear]])</f>
        <v>107.75</v>
      </c>
      <c r="AI11">
        <v>106.5</v>
      </c>
      <c r="AJ11">
        <v>106.1</v>
      </c>
      <c r="AK11">
        <v>104.4</v>
      </c>
      <c r="AL11">
        <v>104.5</v>
      </c>
      <c r="AM11" t="str">
        <f t="shared" si="1"/>
        <v>Pre-COVID</v>
      </c>
    </row>
    <row r="12" spans="1:39" x14ac:dyDescent="0.35">
      <c r="A12" t="s">
        <v>33</v>
      </c>
      <c r="B12">
        <v>2013</v>
      </c>
      <c r="C12" t="s">
        <v>37</v>
      </c>
      <c r="D12" s="4">
        <f>DATE(B12,MATCH(C12,{"January","February","March","April","May","June","July","August","September","October","November","December"},0),1)</f>
        <v>41365</v>
      </c>
      <c r="E12">
        <v>114.6</v>
      </c>
      <c r="F12">
        <v>113.4</v>
      </c>
      <c r="G12">
        <v>106</v>
      </c>
      <c r="H12">
        <v>104.7</v>
      </c>
      <c r="I12">
        <v>102.1</v>
      </c>
      <c r="J12">
        <v>109.5</v>
      </c>
      <c r="K12">
        <v>109.7</v>
      </c>
      <c r="L12">
        <v>104.6</v>
      </c>
      <c r="M12">
        <v>102</v>
      </c>
      <c r="N12">
        <v>103.5</v>
      </c>
      <c r="O12">
        <v>108.2</v>
      </c>
      <c r="P12">
        <v>110.6</v>
      </c>
      <c r="Q12">
        <v>108.8</v>
      </c>
      <c r="R12">
        <v>108.5</v>
      </c>
      <c r="S12">
        <v>107.9</v>
      </c>
      <c r="T12">
        <v>106.4</v>
      </c>
      <c r="U12">
        <v>107.7</v>
      </c>
      <c r="V12">
        <v>100.5</v>
      </c>
      <c r="W12">
        <v>106.4</v>
      </c>
      <c r="X12">
        <v>106.5</v>
      </c>
      <c r="Y12">
        <v>105.7</v>
      </c>
      <c r="Z12">
        <v>105</v>
      </c>
      <c r="AA12">
        <v>104</v>
      </c>
      <c r="AB12">
        <v>105.2</v>
      </c>
      <c r="AC12">
        <v>103.2</v>
      </c>
      <c r="AD12">
        <v>105.1</v>
      </c>
      <c r="AE12">
        <v>105.7</v>
      </c>
      <c r="AF12">
        <f t="shared" si="0"/>
        <v>107.40833333333332</v>
      </c>
      <c r="AG12">
        <v>108.5</v>
      </c>
      <c r="AH12">
        <f>AVERAGE(Table1[[#This Row],[Clothing]:[Footwear]])</f>
        <v>107.15</v>
      </c>
      <c r="AI12">
        <v>106.4</v>
      </c>
      <c r="AJ12">
        <v>106.5</v>
      </c>
      <c r="AK12">
        <v>105</v>
      </c>
      <c r="AL12">
        <v>104</v>
      </c>
      <c r="AM12" t="str">
        <f t="shared" si="1"/>
        <v>Pre-COVID</v>
      </c>
    </row>
    <row r="13" spans="1:39" x14ac:dyDescent="0.35">
      <c r="A13" t="s">
        <v>34</v>
      </c>
      <c r="B13">
        <v>2013</v>
      </c>
      <c r="C13" t="s">
        <v>37</v>
      </c>
      <c r="D13" s="4">
        <f>DATE(B13,MATCH(C13,{"January","February","March","April","May","June","July","August","September","October","November","December"},0),1)</f>
        <v>41365</v>
      </c>
      <c r="E13">
        <v>111.6</v>
      </c>
      <c r="F13">
        <v>110.9</v>
      </c>
      <c r="G13">
        <v>106.6</v>
      </c>
      <c r="H13">
        <v>105.7</v>
      </c>
      <c r="I13">
        <v>104.4</v>
      </c>
      <c r="J13">
        <v>108.9</v>
      </c>
      <c r="K13">
        <v>105.5</v>
      </c>
      <c r="L13">
        <v>105.3</v>
      </c>
      <c r="M13">
        <v>103.5</v>
      </c>
      <c r="N13">
        <v>103.3</v>
      </c>
      <c r="O13">
        <v>107.2</v>
      </c>
      <c r="P13">
        <v>109.6</v>
      </c>
      <c r="Q13">
        <v>107.7</v>
      </c>
      <c r="R13">
        <v>107.5</v>
      </c>
      <c r="S13">
        <v>108</v>
      </c>
      <c r="T13">
        <v>107</v>
      </c>
      <c r="U13">
        <v>107.9</v>
      </c>
      <c r="V13">
        <v>100.5</v>
      </c>
      <c r="W13">
        <v>106.5</v>
      </c>
      <c r="X13">
        <v>106.3</v>
      </c>
      <c r="Y13">
        <v>105.3</v>
      </c>
      <c r="Z13">
        <v>104.7</v>
      </c>
      <c r="AA13">
        <v>104.2</v>
      </c>
      <c r="AB13">
        <v>105</v>
      </c>
      <c r="AC13">
        <v>102.9</v>
      </c>
      <c r="AD13">
        <v>104.8</v>
      </c>
      <c r="AE13">
        <v>106.1</v>
      </c>
      <c r="AF13">
        <f t="shared" si="0"/>
        <v>106.875</v>
      </c>
      <c r="AG13">
        <v>107.5</v>
      </c>
      <c r="AH13">
        <f>AVERAGE(Table1[[#This Row],[Clothing]:[Footwear]])</f>
        <v>107.5</v>
      </c>
      <c r="AI13">
        <v>106.5</v>
      </c>
      <c r="AJ13">
        <v>106.3</v>
      </c>
      <c r="AK13">
        <v>104.7</v>
      </c>
      <c r="AL13">
        <v>104.2</v>
      </c>
      <c r="AM13" t="str">
        <f t="shared" si="1"/>
        <v>Pre-COVID</v>
      </c>
    </row>
    <row r="14" spans="1:39" x14ac:dyDescent="0.35">
      <c r="A14" t="s">
        <v>30</v>
      </c>
      <c r="B14">
        <v>2013</v>
      </c>
      <c r="C14" t="s">
        <v>38</v>
      </c>
      <c r="D14" s="4">
        <f>DATE(B14,MATCH(C14,{"January","February","March","April","May","June","July","August","September","October","November","December"},0),1)</f>
        <v>41395</v>
      </c>
      <c r="E14">
        <v>110.9</v>
      </c>
      <c r="F14">
        <v>109.8</v>
      </c>
      <c r="G14">
        <v>105.9</v>
      </c>
      <c r="H14">
        <v>107.5</v>
      </c>
      <c r="I14">
        <v>105.3</v>
      </c>
      <c r="J14">
        <v>108.1</v>
      </c>
      <c r="K14">
        <v>107.3</v>
      </c>
      <c r="L14">
        <v>106.1</v>
      </c>
      <c r="M14">
        <v>103.7</v>
      </c>
      <c r="N14">
        <v>104</v>
      </c>
      <c r="O14">
        <v>107.4</v>
      </c>
      <c r="P14">
        <v>109.9</v>
      </c>
      <c r="Q14">
        <v>108.1</v>
      </c>
      <c r="R14">
        <v>108.1</v>
      </c>
      <c r="S14">
        <v>108.8</v>
      </c>
      <c r="T14">
        <v>107.9</v>
      </c>
      <c r="U14">
        <v>108.6</v>
      </c>
      <c r="V14">
        <v>100.5</v>
      </c>
      <c r="W14">
        <v>107.5</v>
      </c>
      <c r="X14">
        <v>106.8</v>
      </c>
      <c r="Y14">
        <v>105.7</v>
      </c>
      <c r="Z14">
        <v>104.1</v>
      </c>
      <c r="AA14">
        <v>105</v>
      </c>
      <c r="AB14">
        <v>105.5</v>
      </c>
      <c r="AC14">
        <v>102.1</v>
      </c>
      <c r="AD14">
        <v>104.8</v>
      </c>
      <c r="AE14">
        <v>107.2</v>
      </c>
      <c r="AF14">
        <f t="shared" si="0"/>
        <v>107.15833333333335</v>
      </c>
      <c r="AG14">
        <v>108.1</v>
      </c>
      <c r="AH14">
        <f>AVERAGE(Table1[[#This Row],[Clothing]:[Footwear]])</f>
        <v>108.35</v>
      </c>
      <c r="AI14">
        <v>107.5</v>
      </c>
      <c r="AJ14">
        <v>106.8</v>
      </c>
      <c r="AK14">
        <v>104.1</v>
      </c>
      <c r="AL14">
        <v>105</v>
      </c>
      <c r="AM14" t="str">
        <f t="shared" si="1"/>
        <v>Pre-COVID</v>
      </c>
    </row>
    <row r="15" spans="1:39" x14ac:dyDescent="0.35">
      <c r="A15" t="s">
        <v>33</v>
      </c>
      <c r="B15">
        <v>2013</v>
      </c>
      <c r="C15" t="s">
        <v>38</v>
      </c>
      <c r="D15" s="4">
        <f>DATE(B15,MATCH(C15,{"January","February","March","April","May","June","July","August","September","October","November","December"},0),1)</f>
        <v>41395</v>
      </c>
      <c r="E15">
        <v>115.4</v>
      </c>
      <c r="F15">
        <v>114.2</v>
      </c>
      <c r="G15">
        <v>102.7</v>
      </c>
      <c r="H15">
        <v>105.5</v>
      </c>
      <c r="I15">
        <v>101.5</v>
      </c>
      <c r="J15">
        <v>110.6</v>
      </c>
      <c r="K15">
        <v>123.7</v>
      </c>
      <c r="L15">
        <v>105.2</v>
      </c>
      <c r="M15">
        <v>101.9</v>
      </c>
      <c r="N15">
        <v>105</v>
      </c>
      <c r="O15">
        <v>109.1</v>
      </c>
      <c r="P15">
        <v>111.3</v>
      </c>
      <c r="Q15">
        <v>111.1</v>
      </c>
      <c r="R15">
        <v>109.8</v>
      </c>
      <c r="S15">
        <v>108.5</v>
      </c>
      <c r="T15">
        <v>106.7</v>
      </c>
      <c r="U15">
        <v>108.3</v>
      </c>
      <c r="V15">
        <v>100.5</v>
      </c>
      <c r="W15">
        <v>107.2</v>
      </c>
      <c r="X15">
        <v>107.1</v>
      </c>
      <c r="Y15">
        <v>106.2</v>
      </c>
      <c r="Z15">
        <v>103.9</v>
      </c>
      <c r="AA15">
        <v>104.6</v>
      </c>
      <c r="AB15">
        <v>105.7</v>
      </c>
      <c r="AC15">
        <v>102.6</v>
      </c>
      <c r="AD15">
        <v>104.9</v>
      </c>
      <c r="AE15">
        <v>106.6</v>
      </c>
      <c r="AF15">
        <f t="shared" si="0"/>
        <v>108.84166666666665</v>
      </c>
      <c r="AG15">
        <v>109.8</v>
      </c>
      <c r="AH15">
        <f>AVERAGE(Table1[[#This Row],[Clothing]:[Footwear]])</f>
        <v>107.6</v>
      </c>
      <c r="AI15">
        <v>107.2</v>
      </c>
      <c r="AJ15">
        <v>107.1</v>
      </c>
      <c r="AK15">
        <v>103.9</v>
      </c>
      <c r="AL15">
        <v>104.6</v>
      </c>
      <c r="AM15" t="str">
        <f t="shared" si="1"/>
        <v>Pre-COVID</v>
      </c>
    </row>
    <row r="16" spans="1:39" x14ac:dyDescent="0.35">
      <c r="A16" t="s">
        <v>34</v>
      </c>
      <c r="B16">
        <v>2013</v>
      </c>
      <c r="C16" t="s">
        <v>38</v>
      </c>
      <c r="D16" s="4">
        <f>DATE(B16,MATCH(C16,{"January","February","March","April","May","June","July","August","September","October","November","December"},0),1)</f>
        <v>41395</v>
      </c>
      <c r="E16">
        <v>112.3</v>
      </c>
      <c r="F16">
        <v>111.3</v>
      </c>
      <c r="G16">
        <v>104.7</v>
      </c>
      <c r="H16">
        <v>106.8</v>
      </c>
      <c r="I16">
        <v>103.9</v>
      </c>
      <c r="J16">
        <v>109.3</v>
      </c>
      <c r="K16">
        <v>112.9</v>
      </c>
      <c r="L16">
        <v>105.8</v>
      </c>
      <c r="M16">
        <v>103.1</v>
      </c>
      <c r="N16">
        <v>104.3</v>
      </c>
      <c r="O16">
        <v>108.1</v>
      </c>
      <c r="P16">
        <v>110.5</v>
      </c>
      <c r="Q16">
        <v>109.2</v>
      </c>
      <c r="R16">
        <v>108.6</v>
      </c>
      <c r="S16">
        <v>108.7</v>
      </c>
      <c r="T16">
        <v>107.4</v>
      </c>
      <c r="U16">
        <v>108.5</v>
      </c>
      <c r="V16">
        <v>100.5</v>
      </c>
      <c r="W16">
        <v>107.4</v>
      </c>
      <c r="X16">
        <v>106.9</v>
      </c>
      <c r="Y16">
        <v>105.9</v>
      </c>
      <c r="Z16">
        <v>104</v>
      </c>
      <c r="AA16">
        <v>104.8</v>
      </c>
      <c r="AB16">
        <v>105.6</v>
      </c>
      <c r="AC16">
        <v>102.3</v>
      </c>
      <c r="AD16">
        <v>104.8</v>
      </c>
      <c r="AE16">
        <v>106.9</v>
      </c>
      <c r="AF16">
        <f t="shared" si="0"/>
        <v>107.74999999999999</v>
      </c>
      <c r="AG16">
        <v>108.6</v>
      </c>
      <c r="AH16">
        <f>AVERAGE(Table1[[#This Row],[Clothing]:[Footwear]])</f>
        <v>108.05000000000001</v>
      </c>
      <c r="AI16">
        <v>107.4</v>
      </c>
      <c r="AJ16">
        <v>106.9</v>
      </c>
      <c r="AK16">
        <v>104</v>
      </c>
      <c r="AL16">
        <v>104.8</v>
      </c>
      <c r="AM16" t="str">
        <f t="shared" si="1"/>
        <v>Pre-COVID</v>
      </c>
    </row>
    <row r="17" spans="1:39" x14ac:dyDescent="0.35">
      <c r="A17" t="s">
        <v>30</v>
      </c>
      <c r="B17">
        <v>2013</v>
      </c>
      <c r="C17" t="s">
        <v>39</v>
      </c>
      <c r="D17" s="4">
        <f>DATE(B17,MATCH(C17,{"January","February","March","April","May","June","July","August","September","October","November","December"},0),1)</f>
        <v>41426</v>
      </c>
      <c r="E17">
        <v>112.3</v>
      </c>
      <c r="F17">
        <v>112.1</v>
      </c>
      <c r="G17">
        <v>108.1</v>
      </c>
      <c r="H17">
        <v>108.3</v>
      </c>
      <c r="I17">
        <v>105.9</v>
      </c>
      <c r="J17">
        <v>109.2</v>
      </c>
      <c r="K17">
        <v>118</v>
      </c>
      <c r="L17">
        <v>106.8</v>
      </c>
      <c r="M17">
        <v>104.1</v>
      </c>
      <c r="N17">
        <v>105.4</v>
      </c>
      <c r="O17">
        <v>108.2</v>
      </c>
      <c r="P17">
        <v>111</v>
      </c>
      <c r="Q17">
        <v>110.6</v>
      </c>
      <c r="R17">
        <v>109</v>
      </c>
      <c r="S17">
        <v>109.7</v>
      </c>
      <c r="T17">
        <v>108.8</v>
      </c>
      <c r="U17">
        <v>109.5</v>
      </c>
      <c r="V17">
        <v>106.6</v>
      </c>
      <c r="W17">
        <v>108.5</v>
      </c>
      <c r="X17">
        <v>107.5</v>
      </c>
      <c r="Y17">
        <v>106.3</v>
      </c>
      <c r="Z17">
        <v>105</v>
      </c>
      <c r="AA17">
        <v>105.6</v>
      </c>
      <c r="AB17">
        <v>106.5</v>
      </c>
      <c r="AC17">
        <v>102.5</v>
      </c>
      <c r="AD17">
        <v>105.5</v>
      </c>
      <c r="AE17">
        <v>108.9</v>
      </c>
      <c r="AF17">
        <f t="shared" si="0"/>
        <v>109.11666666666667</v>
      </c>
      <c r="AG17">
        <v>109</v>
      </c>
      <c r="AH17">
        <f>AVERAGE(Table1[[#This Row],[Clothing]:[Footwear]])</f>
        <v>109.25</v>
      </c>
      <c r="AI17">
        <v>108.5</v>
      </c>
      <c r="AJ17">
        <v>107.5</v>
      </c>
      <c r="AK17">
        <v>105</v>
      </c>
      <c r="AL17">
        <v>105.6</v>
      </c>
      <c r="AM17" t="str">
        <f t="shared" si="1"/>
        <v>Pre-COVID</v>
      </c>
    </row>
    <row r="18" spans="1:39" x14ac:dyDescent="0.35">
      <c r="A18" t="s">
        <v>33</v>
      </c>
      <c r="B18">
        <v>2013</v>
      </c>
      <c r="C18" t="s">
        <v>39</v>
      </c>
      <c r="D18" s="4">
        <f>DATE(B18,MATCH(C18,{"January","February","March","April","May","June","July","August","September","October","November","December"},0),1)</f>
        <v>41426</v>
      </c>
      <c r="E18">
        <v>117</v>
      </c>
      <c r="F18">
        <v>120.1</v>
      </c>
      <c r="G18">
        <v>112.5</v>
      </c>
      <c r="H18">
        <v>107.3</v>
      </c>
      <c r="I18">
        <v>101.3</v>
      </c>
      <c r="J18">
        <v>112.4</v>
      </c>
      <c r="K18">
        <v>143.6</v>
      </c>
      <c r="L18">
        <v>105.4</v>
      </c>
      <c r="M18">
        <v>101.4</v>
      </c>
      <c r="N18">
        <v>106.4</v>
      </c>
      <c r="O18">
        <v>110</v>
      </c>
      <c r="P18">
        <v>112.2</v>
      </c>
      <c r="Q18">
        <v>115</v>
      </c>
      <c r="R18">
        <v>110.9</v>
      </c>
      <c r="S18">
        <v>109.2</v>
      </c>
      <c r="T18">
        <v>107.2</v>
      </c>
      <c r="U18">
        <v>108.9</v>
      </c>
      <c r="V18">
        <v>106.6</v>
      </c>
      <c r="W18">
        <v>108</v>
      </c>
      <c r="X18">
        <v>107.7</v>
      </c>
      <c r="Y18">
        <v>106.5</v>
      </c>
      <c r="Z18">
        <v>105.2</v>
      </c>
      <c r="AA18">
        <v>105.2</v>
      </c>
      <c r="AB18">
        <v>108.1</v>
      </c>
      <c r="AC18">
        <v>103.3</v>
      </c>
      <c r="AD18">
        <v>106.1</v>
      </c>
      <c r="AE18">
        <v>109.7</v>
      </c>
      <c r="AF18">
        <f t="shared" si="0"/>
        <v>112.46666666666668</v>
      </c>
      <c r="AG18">
        <v>110.9</v>
      </c>
      <c r="AH18">
        <f>AVERAGE(Table1[[#This Row],[Clothing]:[Footwear]])</f>
        <v>108.2</v>
      </c>
      <c r="AI18">
        <v>108</v>
      </c>
      <c r="AJ18">
        <v>107.7</v>
      </c>
      <c r="AK18">
        <v>105.2</v>
      </c>
      <c r="AL18">
        <v>105.2</v>
      </c>
      <c r="AM18" t="str">
        <f t="shared" si="1"/>
        <v>Pre-COVID</v>
      </c>
    </row>
    <row r="19" spans="1:39" x14ac:dyDescent="0.35">
      <c r="A19" t="s">
        <v>34</v>
      </c>
      <c r="B19">
        <v>2013</v>
      </c>
      <c r="C19" t="s">
        <v>39</v>
      </c>
      <c r="D19" s="4">
        <f>DATE(B19,MATCH(C19,{"January","February","March","April","May","June","July","August","September","October","November","December"},0),1)</f>
        <v>41426</v>
      </c>
      <c r="E19">
        <v>113.8</v>
      </c>
      <c r="F19">
        <v>114.9</v>
      </c>
      <c r="G19">
        <v>109.8</v>
      </c>
      <c r="H19">
        <v>107.9</v>
      </c>
      <c r="I19">
        <v>104.2</v>
      </c>
      <c r="J19">
        <v>110.7</v>
      </c>
      <c r="K19">
        <v>126.7</v>
      </c>
      <c r="L19">
        <v>106.3</v>
      </c>
      <c r="M19">
        <v>103.2</v>
      </c>
      <c r="N19">
        <v>105.7</v>
      </c>
      <c r="O19">
        <v>109</v>
      </c>
      <c r="P19">
        <v>111.6</v>
      </c>
      <c r="Q19">
        <v>112.2</v>
      </c>
      <c r="R19">
        <v>109.5</v>
      </c>
      <c r="S19">
        <v>109.5</v>
      </c>
      <c r="T19">
        <v>108.1</v>
      </c>
      <c r="U19">
        <v>109.3</v>
      </c>
      <c r="V19">
        <v>106.6</v>
      </c>
      <c r="W19">
        <v>108.3</v>
      </c>
      <c r="X19">
        <v>107.6</v>
      </c>
      <c r="Y19">
        <v>106.4</v>
      </c>
      <c r="Z19">
        <v>105.1</v>
      </c>
      <c r="AA19">
        <v>105.4</v>
      </c>
      <c r="AB19">
        <v>107.4</v>
      </c>
      <c r="AC19">
        <v>102.8</v>
      </c>
      <c r="AD19">
        <v>105.8</v>
      </c>
      <c r="AE19">
        <v>109.3</v>
      </c>
      <c r="AF19">
        <f t="shared" si="0"/>
        <v>110.31666666666666</v>
      </c>
      <c r="AG19">
        <v>109.5</v>
      </c>
      <c r="AH19">
        <f>AVERAGE(Table1[[#This Row],[Clothing]:[Footwear]])</f>
        <v>108.8</v>
      </c>
      <c r="AI19">
        <v>108.3</v>
      </c>
      <c r="AJ19">
        <v>107.6</v>
      </c>
      <c r="AK19">
        <v>105.1</v>
      </c>
      <c r="AL19">
        <v>105.4</v>
      </c>
      <c r="AM19" t="str">
        <f t="shared" si="1"/>
        <v>Pre-COVID</v>
      </c>
    </row>
    <row r="20" spans="1:39" x14ac:dyDescent="0.35">
      <c r="A20" t="s">
        <v>30</v>
      </c>
      <c r="B20">
        <v>2013</v>
      </c>
      <c r="C20" t="s">
        <v>40</v>
      </c>
      <c r="D20" s="4">
        <f>DATE(B20,MATCH(C20,{"January","February","March","April","May","June","July","August","September","October","November","December"},0),1)</f>
        <v>41456</v>
      </c>
      <c r="E20">
        <v>113.4</v>
      </c>
      <c r="F20">
        <v>114.9</v>
      </c>
      <c r="G20">
        <v>110.5</v>
      </c>
      <c r="H20">
        <v>109.3</v>
      </c>
      <c r="I20">
        <v>106.2</v>
      </c>
      <c r="J20">
        <v>110.3</v>
      </c>
      <c r="K20">
        <v>129.19999999999999</v>
      </c>
      <c r="L20">
        <v>107.1</v>
      </c>
      <c r="M20">
        <v>104.3</v>
      </c>
      <c r="N20">
        <v>106.4</v>
      </c>
      <c r="O20">
        <v>109.1</v>
      </c>
      <c r="P20">
        <v>112.1</v>
      </c>
      <c r="Q20">
        <v>113.1</v>
      </c>
      <c r="R20">
        <v>109.8</v>
      </c>
      <c r="S20">
        <v>110.5</v>
      </c>
      <c r="T20">
        <v>109.5</v>
      </c>
      <c r="U20">
        <v>110.3</v>
      </c>
      <c r="V20">
        <v>107.7</v>
      </c>
      <c r="W20">
        <v>109.5</v>
      </c>
      <c r="X20">
        <v>108.3</v>
      </c>
      <c r="Y20">
        <v>106.9</v>
      </c>
      <c r="Z20">
        <v>106.8</v>
      </c>
      <c r="AA20">
        <v>106.4</v>
      </c>
      <c r="AB20">
        <v>107.8</v>
      </c>
      <c r="AC20">
        <v>102.5</v>
      </c>
      <c r="AD20">
        <v>106.5</v>
      </c>
      <c r="AE20">
        <v>110.7</v>
      </c>
      <c r="AF20">
        <f t="shared" si="0"/>
        <v>111.06666666666665</v>
      </c>
      <c r="AG20">
        <v>109.8</v>
      </c>
      <c r="AH20">
        <f>AVERAGE(Table1[[#This Row],[Clothing]:[Footwear]])</f>
        <v>110</v>
      </c>
      <c r="AI20">
        <v>109.5</v>
      </c>
      <c r="AJ20">
        <v>108.3</v>
      </c>
      <c r="AK20">
        <v>106.8</v>
      </c>
      <c r="AL20">
        <v>106.4</v>
      </c>
      <c r="AM20" t="str">
        <f t="shared" si="1"/>
        <v>Pre-COVID</v>
      </c>
    </row>
    <row r="21" spans="1:39" x14ac:dyDescent="0.35">
      <c r="A21" t="s">
        <v>33</v>
      </c>
      <c r="B21">
        <v>2013</v>
      </c>
      <c r="C21" t="s">
        <v>40</v>
      </c>
      <c r="D21" s="4">
        <f>DATE(B21,MATCH(C21,{"January","February","March","April","May","June","July","August","September","October","November","December"},0),1)</f>
        <v>41456</v>
      </c>
      <c r="E21">
        <v>117.8</v>
      </c>
      <c r="F21">
        <v>119.2</v>
      </c>
      <c r="G21">
        <v>114</v>
      </c>
      <c r="H21">
        <v>108.3</v>
      </c>
      <c r="I21">
        <v>101.1</v>
      </c>
      <c r="J21">
        <v>113.2</v>
      </c>
      <c r="K21">
        <v>160.9</v>
      </c>
      <c r="L21">
        <v>105.1</v>
      </c>
      <c r="M21">
        <v>101.3</v>
      </c>
      <c r="N21">
        <v>107.5</v>
      </c>
      <c r="O21">
        <v>110.4</v>
      </c>
      <c r="P21">
        <v>113.1</v>
      </c>
      <c r="Q21">
        <v>117.5</v>
      </c>
      <c r="R21">
        <v>111.7</v>
      </c>
      <c r="S21">
        <v>109.8</v>
      </c>
      <c r="T21">
        <v>107.8</v>
      </c>
      <c r="U21">
        <v>109.5</v>
      </c>
      <c r="V21">
        <v>107.7</v>
      </c>
      <c r="W21">
        <v>108.6</v>
      </c>
      <c r="X21">
        <v>108.1</v>
      </c>
      <c r="Y21">
        <v>107.1</v>
      </c>
      <c r="Z21">
        <v>107.3</v>
      </c>
      <c r="AA21">
        <v>105.9</v>
      </c>
      <c r="AB21">
        <v>110.1</v>
      </c>
      <c r="AC21">
        <v>103.2</v>
      </c>
      <c r="AD21">
        <v>107.3</v>
      </c>
      <c r="AE21">
        <v>111.4</v>
      </c>
      <c r="AF21">
        <f t="shared" si="0"/>
        <v>114.325</v>
      </c>
      <c r="AG21">
        <v>111.7</v>
      </c>
      <c r="AH21">
        <f>AVERAGE(Table1[[#This Row],[Clothing]:[Footwear]])</f>
        <v>108.8</v>
      </c>
      <c r="AI21">
        <v>108.6</v>
      </c>
      <c r="AJ21">
        <v>108.1</v>
      </c>
      <c r="AK21">
        <v>107.3</v>
      </c>
      <c r="AL21">
        <v>105.9</v>
      </c>
      <c r="AM21" t="str">
        <f t="shared" si="1"/>
        <v>Pre-COVID</v>
      </c>
    </row>
    <row r="22" spans="1:39" x14ac:dyDescent="0.35">
      <c r="A22" t="s">
        <v>34</v>
      </c>
      <c r="B22">
        <v>2013</v>
      </c>
      <c r="C22" t="s">
        <v>40</v>
      </c>
      <c r="D22" s="4">
        <f>DATE(B22,MATCH(C22,{"January","February","March","April","May","June","July","August","September","October","November","December"},0),1)</f>
        <v>41456</v>
      </c>
      <c r="E22">
        <v>114.8</v>
      </c>
      <c r="F22">
        <v>116.4</v>
      </c>
      <c r="G22">
        <v>111.9</v>
      </c>
      <c r="H22">
        <v>108.9</v>
      </c>
      <c r="I22">
        <v>104.3</v>
      </c>
      <c r="J22">
        <v>111.7</v>
      </c>
      <c r="K22">
        <v>140</v>
      </c>
      <c r="L22">
        <v>106.4</v>
      </c>
      <c r="M22">
        <v>103.3</v>
      </c>
      <c r="N22">
        <v>106.8</v>
      </c>
      <c r="O22">
        <v>109.6</v>
      </c>
      <c r="P22">
        <v>112.6</v>
      </c>
      <c r="Q22">
        <v>114.7</v>
      </c>
      <c r="R22">
        <v>110.3</v>
      </c>
      <c r="S22">
        <v>110.2</v>
      </c>
      <c r="T22">
        <v>108.8</v>
      </c>
      <c r="U22">
        <v>110</v>
      </c>
      <c r="V22">
        <v>107.7</v>
      </c>
      <c r="W22">
        <v>109.2</v>
      </c>
      <c r="X22">
        <v>108.2</v>
      </c>
      <c r="Y22">
        <v>107</v>
      </c>
      <c r="Z22">
        <v>107.1</v>
      </c>
      <c r="AA22">
        <v>106.1</v>
      </c>
      <c r="AB22">
        <v>109.1</v>
      </c>
      <c r="AC22">
        <v>102.8</v>
      </c>
      <c r="AD22">
        <v>106.9</v>
      </c>
      <c r="AE22">
        <v>111</v>
      </c>
      <c r="AF22">
        <f t="shared" si="0"/>
        <v>112.22499999999998</v>
      </c>
      <c r="AG22">
        <v>110.3</v>
      </c>
      <c r="AH22">
        <f>AVERAGE(Table1[[#This Row],[Clothing]:[Footwear]])</f>
        <v>109.5</v>
      </c>
      <c r="AI22">
        <v>109.2</v>
      </c>
      <c r="AJ22">
        <v>108.2</v>
      </c>
      <c r="AK22">
        <v>107.1</v>
      </c>
      <c r="AL22">
        <v>106.1</v>
      </c>
      <c r="AM22" t="str">
        <f t="shared" si="1"/>
        <v>Pre-COVID</v>
      </c>
    </row>
    <row r="23" spans="1:39" x14ac:dyDescent="0.35">
      <c r="A23" t="s">
        <v>30</v>
      </c>
      <c r="B23">
        <v>2013</v>
      </c>
      <c r="C23" t="s">
        <v>41</v>
      </c>
      <c r="D23" s="4">
        <f>DATE(B23,MATCH(C23,{"January","February","March","April","May","June","July","August","September","October","November","December"},0),1)</f>
        <v>41487</v>
      </c>
      <c r="E23">
        <v>114.3</v>
      </c>
      <c r="F23">
        <v>115.4</v>
      </c>
      <c r="G23">
        <v>111.1</v>
      </c>
      <c r="H23">
        <v>110</v>
      </c>
      <c r="I23">
        <v>106.4</v>
      </c>
      <c r="J23">
        <v>110.8</v>
      </c>
      <c r="K23">
        <v>138.9</v>
      </c>
      <c r="L23">
        <v>107.4</v>
      </c>
      <c r="M23">
        <v>104.1</v>
      </c>
      <c r="N23">
        <v>106.9</v>
      </c>
      <c r="O23">
        <v>109.7</v>
      </c>
      <c r="P23">
        <v>112.6</v>
      </c>
      <c r="Q23">
        <v>114.9</v>
      </c>
      <c r="R23">
        <v>110.7</v>
      </c>
      <c r="S23">
        <v>111.3</v>
      </c>
      <c r="T23">
        <v>110.2</v>
      </c>
      <c r="U23">
        <v>111.1</v>
      </c>
      <c r="V23">
        <v>108.9</v>
      </c>
      <c r="W23">
        <v>109.9</v>
      </c>
      <c r="X23">
        <v>108.7</v>
      </c>
      <c r="Y23">
        <v>107.5</v>
      </c>
      <c r="Z23">
        <v>107.8</v>
      </c>
      <c r="AA23">
        <v>106.8</v>
      </c>
      <c r="AB23">
        <v>108.7</v>
      </c>
      <c r="AC23">
        <v>105</v>
      </c>
      <c r="AD23">
        <v>107.5</v>
      </c>
      <c r="AE23">
        <v>112.1</v>
      </c>
      <c r="AF23">
        <f t="shared" si="0"/>
        <v>112.3</v>
      </c>
      <c r="AG23">
        <v>110.7</v>
      </c>
      <c r="AH23">
        <f>AVERAGE(Table1[[#This Row],[Clothing]:[Footwear]])</f>
        <v>110.75</v>
      </c>
      <c r="AI23">
        <v>109.9</v>
      </c>
      <c r="AJ23">
        <v>108.7</v>
      </c>
      <c r="AK23">
        <v>107.8</v>
      </c>
      <c r="AL23">
        <v>106.8</v>
      </c>
      <c r="AM23" t="str">
        <f t="shared" si="1"/>
        <v>Pre-COVID</v>
      </c>
    </row>
    <row r="24" spans="1:39" x14ac:dyDescent="0.35">
      <c r="A24" t="s">
        <v>33</v>
      </c>
      <c r="B24">
        <v>2013</v>
      </c>
      <c r="C24" t="s">
        <v>41</v>
      </c>
      <c r="D24" s="4">
        <f>DATE(B24,MATCH(C24,{"January","February","March","April","May","June","July","August","September","October","November","December"},0),1)</f>
        <v>41487</v>
      </c>
      <c r="E24">
        <v>118.3</v>
      </c>
      <c r="F24">
        <v>120.4</v>
      </c>
      <c r="G24">
        <v>112.7</v>
      </c>
      <c r="H24">
        <v>108.9</v>
      </c>
      <c r="I24">
        <v>101.1</v>
      </c>
      <c r="J24">
        <v>108.7</v>
      </c>
      <c r="K24">
        <v>177</v>
      </c>
      <c r="L24">
        <v>104.7</v>
      </c>
      <c r="M24">
        <v>101</v>
      </c>
      <c r="N24">
        <v>108.5</v>
      </c>
      <c r="O24">
        <v>110.9</v>
      </c>
      <c r="P24">
        <v>114.3</v>
      </c>
      <c r="Q24">
        <v>119.6</v>
      </c>
      <c r="R24">
        <v>112.4</v>
      </c>
      <c r="S24">
        <v>110.6</v>
      </c>
      <c r="T24">
        <v>108.3</v>
      </c>
      <c r="U24">
        <v>110.2</v>
      </c>
      <c r="V24">
        <v>108.9</v>
      </c>
      <c r="W24">
        <v>109.3</v>
      </c>
      <c r="X24">
        <v>108.7</v>
      </c>
      <c r="Y24">
        <v>107.6</v>
      </c>
      <c r="Z24">
        <v>108.1</v>
      </c>
      <c r="AA24">
        <v>106.5</v>
      </c>
      <c r="AB24">
        <v>110.8</v>
      </c>
      <c r="AC24">
        <v>106</v>
      </c>
      <c r="AD24">
        <v>108.3</v>
      </c>
      <c r="AE24">
        <v>112.7</v>
      </c>
      <c r="AF24">
        <f t="shared" si="0"/>
        <v>115.54166666666669</v>
      </c>
      <c r="AG24">
        <v>112.4</v>
      </c>
      <c r="AH24">
        <f>AVERAGE(Table1[[#This Row],[Clothing]:[Footwear]])</f>
        <v>109.44999999999999</v>
      </c>
      <c r="AI24">
        <v>109.3</v>
      </c>
      <c r="AJ24">
        <v>108.7</v>
      </c>
      <c r="AK24">
        <v>108.1</v>
      </c>
      <c r="AL24">
        <v>106.5</v>
      </c>
      <c r="AM24" t="str">
        <f t="shared" si="1"/>
        <v>Pre-COVID</v>
      </c>
    </row>
    <row r="25" spans="1:39" x14ac:dyDescent="0.35">
      <c r="A25" t="s">
        <v>34</v>
      </c>
      <c r="B25">
        <v>2013</v>
      </c>
      <c r="C25" t="s">
        <v>41</v>
      </c>
      <c r="D25" s="4">
        <f>DATE(B25,MATCH(C25,{"January","February","March","April","May","June","July","August","September","October","November","December"},0),1)</f>
        <v>41487</v>
      </c>
      <c r="E25">
        <v>115.6</v>
      </c>
      <c r="F25">
        <v>117.2</v>
      </c>
      <c r="G25">
        <v>111.7</v>
      </c>
      <c r="H25">
        <v>109.6</v>
      </c>
      <c r="I25">
        <v>104.5</v>
      </c>
      <c r="J25">
        <v>109.8</v>
      </c>
      <c r="K25">
        <v>151.80000000000001</v>
      </c>
      <c r="L25">
        <v>106.5</v>
      </c>
      <c r="M25">
        <v>103.1</v>
      </c>
      <c r="N25">
        <v>107.4</v>
      </c>
      <c r="O25">
        <v>110.2</v>
      </c>
      <c r="P25">
        <v>113.4</v>
      </c>
      <c r="Q25">
        <v>116.6</v>
      </c>
      <c r="R25">
        <v>111.2</v>
      </c>
      <c r="S25">
        <v>111</v>
      </c>
      <c r="T25">
        <v>109.4</v>
      </c>
      <c r="U25">
        <v>110.7</v>
      </c>
      <c r="V25">
        <v>108.9</v>
      </c>
      <c r="W25">
        <v>109.7</v>
      </c>
      <c r="X25">
        <v>108.7</v>
      </c>
      <c r="Y25">
        <v>107.5</v>
      </c>
      <c r="Z25">
        <v>108</v>
      </c>
      <c r="AA25">
        <v>106.6</v>
      </c>
      <c r="AB25">
        <v>109.9</v>
      </c>
      <c r="AC25">
        <v>105.4</v>
      </c>
      <c r="AD25">
        <v>107.9</v>
      </c>
      <c r="AE25">
        <v>112.4</v>
      </c>
      <c r="AF25">
        <f t="shared" si="0"/>
        <v>113.40000000000002</v>
      </c>
      <c r="AG25">
        <v>111.2</v>
      </c>
      <c r="AH25">
        <f>AVERAGE(Table1[[#This Row],[Clothing]:[Footwear]])</f>
        <v>110.2</v>
      </c>
      <c r="AI25">
        <v>109.7</v>
      </c>
      <c r="AJ25">
        <v>108.7</v>
      </c>
      <c r="AK25">
        <v>108</v>
      </c>
      <c r="AL25">
        <v>106.6</v>
      </c>
      <c r="AM25" t="str">
        <f t="shared" si="1"/>
        <v>Pre-COVID</v>
      </c>
    </row>
    <row r="26" spans="1:39" x14ac:dyDescent="0.35">
      <c r="A26" t="s">
        <v>30</v>
      </c>
      <c r="B26">
        <v>2013</v>
      </c>
      <c r="C26" t="s">
        <v>42</v>
      </c>
      <c r="D26" s="4">
        <f>DATE(B26,MATCH(C26,{"January","February","March","April","May","June","July","August","September","October","November","December"},0),1)</f>
        <v>41518</v>
      </c>
      <c r="E26">
        <v>115.4</v>
      </c>
      <c r="F26">
        <v>115.7</v>
      </c>
      <c r="G26">
        <v>111.7</v>
      </c>
      <c r="H26">
        <v>111</v>
      </c>
      <c r="I26">
        <v>107.4</v>
      </c>
      <c r="J26">
        <v>110.9</v>
      </c>
      <c r="K26">
        <v>154</v>
      </c>
      <c r="L26">
        <v>108.1</v>
      </c>
      <c r="M26">
        <v>104.2</v>
      </c>
      <c r="N26">
        <v>107.9</v>
      </c>
      <c r="O26">
        <v>110.4</v>
      </c>
      <c r="P26">
        <v>114</v>
      </c>
      <c r="Q26">
        <v>117.8</v>
      </c>
      <c r="R26">
        <v>111.7</v>
      </c>
      <c r="S26">
        <v>112.7</v>
      </c>
      <c r="T26">
        <v>111.4</v>
      </c>
      <c r="U26">
        <v>112.5</v>
      </c>
      <c r="V26">
        <v>109.7</v>
      </c>
      <c r="W26">
        <v>111.1</v>
      </c>
      <c r="X26">
        <v>109.6</v>
      </c>
      <c r="Y26">
        <v>108.3</v>
      </c>
      <c r="Z26">
        <v>109.3</v>
      </c>
      <c r="AA26">
        <v>107.7</v>
      </c>
      <c r="AB26">
        <v>109.8</v>
      </c>
      <c r="AC26">
        <v>106.7</v>
      </c>
      <c r="AD26">
        <v>108.7</v>
      </c>
      <c r="AE26">
        <v>114.2</v>
      </c>
      <c r="AF26">
        <f t="shared" si="0"/>
        <v>114.22500000000002</v>
      </c>
      <c r="AG26">
        <v>111.7</v>
      </c>
      <c r="AH26">
        <f>AVERAGE(Table1[[#This Row],[Clothing]:[Footwear]])</f>
        <v>112.05000000000001</v>
      </c>
      <c r="AI26">
        <v>111.1</v>
      </c>
      <c r="AJ26">
        <v>109.6</v>
      </c>
      <c r="AK26">
        <v>109.3</v>
      </c>
      <c r="AL26">
        <v>107.7</v>
      </c>
      <c r="AM26" t="str">
        <f t="shared" si="1"/>
        <v>Pre-COVID</v>
      </c>
    </row>
    <row r="27" spans="1:39" x14ac:dyDescent="0.35">
      <c r="A27" t="s">
        <v>33</v>
      </c>
      <c r="B27">
        <v>2013</v>
      </c>
      <c r="C27" t="s">
        <v>42</v>
      </c>
      <c r="D27" s="4">
        <f>DATE(B27,MATCH(C27,{"January","February","March","April","May","June","July","August","September","October","November","December"},0),1)</f>
        <v>41518</v>
      </c>
      <c r="E27">
        <v>118.6</v>
      </c>
      <c r="F27">
        <v>119.1</v>
      </c>
      <c r="G27">
        <v>113.2</v>
      </c>
      <c r="H27">
        <v>109.6</v>
      </c>
      <c r="I27">
        <v>101.7</v>
      </c>
      <c r="J27">
        <v>103.2</v>
      </c>
      <c r="K27">
        <v>174.3</v>
      </c>
      <c r="L27">
        <v>105.1</v>
      </c>
      <c r="M27">
        <v>100.8</v>
      </c>
      <c r="N27">
        <v>109.1</v>
      </c>
      <c r="O27">
        <v>111.1</v>
      </c>
      <c r="P27">
        <v>115.4</v>
      </c>
      <c r="Q27">
        <v>119.2</v>
      </c>
      <c r="R27">
        <v>112.9</v>
      </c>
      <c r="S27">
        <v>111.4</v>
      </c>
      <c r="T27">
        <v>109</v>
      </c>
      <c r="U27">
        <v>111.1</v>
      </c>
      <c r="V27">
        <v>109.7</v>
      </c>
      <c r="W27">
        <v>109.5</v>
      </c>
      <c r="X27">
        <v>109.6</v>
      </c>
      <c r="Y27">
        <v>107.9</v>
      </c>
      <c r="Z27">
        <v>110.4</v>
      </c>
      <c r="AA27">
        <v>107.4</v>
      </c>
      <c r="AB27">
        <v>111.2</v>
      </c>
      <c r="AC27">
        <v>106.9</v>
      </c>
      <c r="AD27">
        <v>109.4</v>
      </c>
      <c r="AE27">
        <v>113.2</v>
      </c>
      <c r="AF27">
        <f t="shared" si="0"/>
        <v>115.10000000000001</v>
      </c>
      <c r="AG27">
        <v>112.9</v>
      </c>
      <c r="AH27">
        <f>AVERAGE(Table1[[#This Row],[Clothing]:[Footwear]])</f>
        <v>110.2</v>
      </c>
      <c r="AI27">
        <v>109.5</v>
      </c>
      <c r="AJ27">
        <v>109.6</v>
      </c>
      <c r="AK27">
        <v>110.4</v>
      </c>
      <c r="AL27">
        <v>107.4</v>
      </c>
      <c r="AM27" t="str">
        <f t="shared" si="1"/>
        <v>Pre-COVID</v>
      </c>
    </row>
    <row r="28" spans="1:39" x14ac:dyDescent="0.35">
      <c r="A28" t="s">
        <v>34</v>
      </c>
      <c r="B28">
        <v>2013</v>
      </c>
      <c r="C28" t="s">
        <v>42</v>
      </c>
      <c r="D28" s="4">
        <f>DATE(B28,MATCH(C28,{"January","February","March","April","May","June","July","August","September","October","November","December"},0),1)</f>
        <v>41518</v>
      </c>
      <c r="E28">
        <v>116.4</v>
      </c>
      <c r="F28">
        <v>116.9</v>
      </c>
      <c r="G28">
        <v>112.3</v>
      </c>
      <c r="H28">
        <v>110.5</v>
      </c>
      <c r="I28">
        <v>105.3</v>
      </c>
      <c r="J28">
        <v>107.3</v>
      </c>
      <c r="K28">
        <v>160.9</v>
      </c>
      <c r="L28">
        <v>107.1</v>
      </c>
      <c r="M28">
        <v>103.1</v>
      </c>
      <c r="N28">
        <v>108.3</v>
      </c>
      <c r="O28">
        <v>110.7</v>
      </c>
      <c r="P28">
        <v>114.6</v>
      </c>
      <c r="Q28">
        <v>118.3</v>
      </c>
      <c r="R28">
        <v>112</v>
      </c>
      <c r="S28">
        <v>112.2</v>
      </c>
      <c r="T28">
        <v>110.4</v>
      </c>
      <c r="U28">
        <v>111.9</v>
      </c>
      <c r="V28">
        <v>109.7</v>
      </c>
      <c r="W28">
        <v>110.5</v>
      </c>
      <c r="X28">
        <v>109.6</v>
      </c>
      <c r="Y28">
        <v>108.1</v>
      </c>
      <c r="Z28">
        <v>109.9</v>
      </c>
      <c r="AA28">
        <v>107.5</v>
      </c>
      <c r="AB28">
        <v>110.6</v>
      </c>
      <c r="AC28">
        <v>106.8</v>
      </c>
      <c r="AD28">
        <v>109</v>
      </c>
      <c r="AE28">
        <v>113.7</v>
      </c>
      <c r="AF28">
        <f t="shared" si="0"/>
        <v>114.44999999999999</v>
      </c>
      <c r="AG28">
        <v>112</v>
      </c>
      <c r="AH28">
        <f>AVERAGE(Table1[[#This Row],[Clothing]:[Footwear]])</f>
        <v>111.30000000000001</v>
      </c>
      <c r="AI28">
        <v>110.5</v>
      </c>
      <c r="AJ28">
        <v>109.6</v>
      </c>
      <c r="AK28">
        <v>109.9</v>
      </c>
      <c r="AL28">
        <v>107.5</v>
      </c>
      <c r="AM28" t="str">
        <f t="shared" si="1"/>
        <v>Pre-COVID</v>
      </c>
    </row>
    <row r="29" spans="1:39" x14ac:dyDescent="0.35">
      <c r="A29" t="s">
        <v>30</v>
      </c>
      <c r="B29">
        <v>2013</v>
      </c>
      <c r="C29" t="s">
        <v>43</v>
      </c>
      <c r="D29" s="4">
        <f>DATE(B29,MATCH(C29,{"January","February","March","April","May","June","July","August","September","October","November","December"},0),1)</f>
        <v>41548</v>
      </c>
      <c r="E29">
        <v>116.3</v>
      </c>
      <c r="F29">
        <v>115.4</v>
      </c>
      <c r="G29">
        <v>112.6</v>
      </c>
      <c r="H29">
        <v>111.7</v>
      </c>
      <c r="I29">
        <v>107.7</v>
      </c>
      <c r="J29">
        <v>113.2</v>
      </c>
      <c r="K29">
        <v>164.9</v>
      </c>
      <c r="L29">
        <v>108.3</v>
      </c>
      <c r="M29">
        <v>103.9</v>
      </c>
      <c r="N29">
        <v>108.2</v>
      </c>
      <c r="O29">
        <v>111.1</v>
      </c>
      <c r="P29">
        <v>114.9</v>
      </c>
      <c r="Q29">
        <v>119.8</v>
      </c>
      <c r="R29">
        <v>112.2</v>
      </c>
      <c r="S29">
        <v>113.6</v>
      </c>
      <c r="T29">
        <v>112.3</v>
      </c>
      <c r="U29">
        <v>113.4</v>
      </c>
      <c r="V29">
        <v>110.5</v>
      </c>
      <c r="W29">
        <v>111.6</v>
      </c>
      <c r="X29">
        <v>110.4</v>
      </c>
      <c r="Y29">
        <v>108.9</v>
      </c>
      <c r="Z29">
        <v>109.3</v>
      </c>
      <c r="AA29">
        <v>108.3</v>
      </c>
      <c r="AB29">
        <v>110.2</v>
      </c>
      <c r="AC29">
        <v>107.5</v>
      </c>
      <c r="AD29">
        <v>109.1</v>
      </c>
      <c r="AE29">
        <v>115.5</v>
      </c>
      <c r="AF29">
        <f t="shared" si="0"/>
        <v>115.68333333333334</v>
      </c>
      <c r="AG29">
        <v>112.2</v>
      </c>
      <c r="AH29">
        <f>AVERAGE(Table1[[#This Row],[Clothing]:[Footwear]])</f>
        <v>112.94999999999999</v>
      </c>
      <c r="AI29">
        <v>111.6</v>
      </c>
      <c r="AJ29">
        <v>110.4</v>
      </c>
      <c r="AK29">
        <v>109.3</v>
      </c>
      <c r="AL29">
        <v>108.3</v>
      </c>
      <c r="AM29" t="str">
        <f t="shared" si="1"/>
        <v>Pre-COVID</v>
      </c>
    </row>
    <row r="30" spans="1:39" x14ac:dyDescent="0.35">
      <c r="A30" t="s">
        <v>33</v>
      </c>
      <c r="B30">
        <v>2013</v>
      </c>
      <c r="C30" t="s">
        <v>43</v>
      </c>
      <c r="D30" s="4">
        <f>DATE(B30,MATCH(C30,{"January","February","March","April","May","June","July","August","September","October","November","December"},0),1)</f>
        <v>41548</v>
      </c>
      <c r="E30">
        <v>118.9</v>
      </c>
      <c r="F30">
        <v>118.1</v>
      </c>
      <c r="G30">
        <v>114.5</v>
      </c>
      <c r="H30">
        <v>110.4</v>
      </c>
      <c r="I30">
        <v>102.3</v>
      </c>
      <c r="J30">
        <v>106.2</v>
      </c>
      <c r="K30">
        <v>183.5</v>
      </c>
      <c r="L30">
        <v>105.3</v>
      </c>
      <c r="M30">
        <v>100.2</v>
      </c>
      <c r="N30">
        <v>109.6</v>
      </c>
      <c r="O30">
        <v>111.4</v>
      </c>
      <c r="P30">
        <v>116</v>
      </c>
      <c r="Q30">
        <v>120.8</v>
      </c>
      <c r="R30">
        <v>113.5</v>
      </c>
      <c r="S30">
        <v>112.5</v>
      </c>
      <c r="T30">
        <v>109.7</v>
      </c>
      <c r="U30">
        <v>112</v>
      </c>
      <c r="V30">
        <v>110.5</v>
      </c>
      <c r="W30">
        <v>109.7</v>
      </c>
      <c r="X30">
        <v>110.2</v>
      </c>
      <c r="Y30">
        <v>108.2</v>
      </c>
      <c r="Z30">
        <v>109.7</v>
      </c>
      <c r="AA30">
        <v>108</v>
      </c>
      <c r="AB30">
        <v>111.3</v>
      </c>
      <c r="AC30">
        <v>107.3</v>
      </c>
      <c r="AD30">
        <v>109.4</v>
      </c>
      <c r="AE30">
        <v>114</v>
      </c>
      <c r="AF30">
        <f t="shared" si="0"/>
        <v>116.36666666666666</v>
      </c>
      <c r="AG30">
        <v>113.5</v>
      </c>
      <c r="AH30">
        <f>AVERAGE(Table1[[#This Row],[Clothing]:[Footwear]])</f>
        <v>111.1</v>
      </c>
      <c r="AI30">
        <v>109.7</v>
      </c>
      <c r="AJ30">
        <v>110.2</v>
      </c>
      <c r="AK30">
        <v>109.7</v>
      </c>
      <c r="AL30">
        <v>108</v>
      </c>
      <c r="AM30" t="str">
        <f t="shared" si="1"/>
        <v>Pre-COVID</v>
      </c>
    </row>
    <row r="31" spans="1:39" x14ac:dyDescent="0.35">
      <c r="A31" t="s">
        <v>34</v>
      </c>
      <c r="B31">
        <v>2013</v>
      </c>
      <c r="C31" t="s">
        <v>43</v>
      </c>
      <c r="D31" s="4">
        <f>DATE(B31,MATCH(C31,{"January","February","March","April","May","June","July","August","September","October","November","December"},0),1)</f>
        <v>41548</v>
      </c>
      <c r="E31">
        <v>117.1</v>
      </c>
      <c r="F31">
        <v>116.3</v>
      </c>
      <c r="G31">
        <v>113.3</v>
      </c>
      <c r="H31">
        <v>111.2</v>
      </c>
      <c r="I31">
        <v>105.7</v>
      </c>
      <c r="J31">
        <v>109.9</v>
      </c>
      <c r="K31">
        <v>171.2</v>
      </c>
      <c r="L31">
        <v>107.3</v>
      </c>
      <c r="M31">
        <v>102.7</v>
      </c>
      <c r="N31">
        <v>108.7</v>
      </c>
      <c r="O31">
        <v>111.2</v>
      </c>
      <c r="P31">
        <v>115.4</v>
      </c>
      <c r="Q31">
        <v>120.2</v>
      </c>
      <c r="R31">
        <v>112.5</v>
      </c>
      <c r="S31">
        <v>113.2</v>
      </c>
      <c r="T31">
        <v>111.2</v>
      </c>
      <c r="U31">
        <v>112.8</v>
      </c>
      <c r="V31">
        <v>110.5</v>
      </c>
      <c r="W31">
        <v>110.9</v>
      </c>
      <c r="X31">
        <v>110.3</v>
      </c>
      <c r="Y31">
        <v>108.6</v>
      </c>
      <c r="Z31">
        <v>109.5</v>
      </c>
      <c r="AA31">
        <v>108.1</v>
      </c>
      <c r="AB31">
        <v>110.8</v>
      </c>
      <c r="AC31">
        <v>107.4</v>
      </c>
      <c r="AD31">
        <v>109.2</v>
      </c>
      <c r="AE31">
        <v>114.8</v>
      </c>
      <c r="AF31">
        <f t="shared" si="0"/>
        <v>115.83333333333336</v>
      </c>
      <c r="AG31">
        <v>112.5</v>
      </c>
      <c r="AH31">
        <f>AVERAGE(Table1[[#This Row],[Clothing]:[Footwear]])</f>
        <v>112.2</v>
      </c>
      <c r="AI31">
        <v>110.9</v>
      </c>
      <c r="AJ31">
        <v>110.3</v>
      </c>
      <c r="AK31">
        <v>109.5</v>
      </c>
      <c r="AL31">
        <v>108.1</v>
      </c>
      <c r="AM31" t="str">
        <f t="shared" si="1"/>
        <v>Pre-COVID</v>
      </c>
    </row>
    <row r="32" spans="1:39" x14ac:dyDescent="0.35">
      <c r="A32" t="s">
        <v>30</v>
      </c>
      <c r="B32">
        <v>2013</v>
      </c>
      <c r="C32" t="s">
        <v>45</v>
      </c>
      <c r="D32" s="4">
        <f>DATE(B32,MATCH(C32,{"January","February","March","April","May","June","July","August","September","October","November","December"},0),1)</f>
        <v>41579</v>
      </c>
      <c r="E32">
        <v>117.3</v>
      </c>
      <c r="F32">
        <v>114.9</v>
      </c>
      <c r="G32">
        <v>116.2</v>
      </c>
      <c r="H32">
        <v>112.8</v>
      </c>
      <c r="I32">
        <v>108.9</v>
      </c>
      <c r="J32">
        <v>116.6</v>
      </c>
      <c r="K32">
        <v>178.1</v>
      </c>
      <c r="L32">
        <v>109.1</v>
      </c>
      <c r="M32">
        <v>103.6</v>
      </c>
      <c r="N32">
        <v>109</v>
      </c>
      <c r="O32">
        <v>111.8</v>
      </c>
      <c r="P32">
        <v>116</v>
      </c>
      <c r="Q32">
        <v>122.5</v>
      </c>
      <c r="R32">
        <v>112.8</v>
      </c>
      <c r="S32">
        <v>114.6</v>
      </c>
      <c r="T32">
        <v>113.1</v>
      </c>
      <c r="U32">
        <v>114.4</v>
      </c>
      <c r="V32">
        <v>111.1</v>
      </c>
      <c r="W32">
        <v>112.6</v>
      </c>
      <c r="X32">
        <v>111.3</v>
      </c>
      <c r="Y32">
        <v>109.7</v>
      </c>
      <c r="Z32">
        <v>109.6</v>
      </c>
      <c r="AA32">
        <v>108.7</v>
      </c>
      <c r="AB32">
        <v>111</v>
      </c>
      <c r="AC32">
        <v>108.2</v>
      </c>
      <c r="AD32">
        <v>109.8</v>
      </c>
      <c r="AE32">
        <v>117.4</v>
      </c>
      <c r="AF32">
        <f t="shared" si="0"/>
        <v>117.85833333333333</v>
      </c>
      <c r="AG32">
        <v>112.8</v>
      </c>
      <c r="AH32">
        <f>AVERAGE(Table1[[#This Row],[Clothing]:[Footwear]])</f>
        <v>113.85</v>
      </c>
      <c r="AI32">
        <v>112.6</v>
      </c>
      <c r="AJ32">
        <v>111.3</v>
      </c>
      <c r="AK32">
        <v>109.6</v>
      </c>
      <c r="AL32">
        <v>108.7</v>
      </c>
      <c r="AM32" t="str">
        <f t="shared" si="1"/>
        <v>Pre-COVID</v>
      </c>
    </row>
    <row r="33" spans="1:39" x14ac:dyDescent="0.35">
      <c r="A33" t="s">
        <v>33</v>
      </c>
      <c r="B33">
        <v>2013</v>
      </c>
      <c r="C33" t="s">
        <v>45</v>
      </c>
      <c r="D33" s="4">
        <f>DATE(B33,MATCH(C33,{"January","February","March","April","May","June","July","August","September","October","November","December"},0),1)</f>
        <v>41579</v>
      </c>
      <c r="E33">
        <v>119.8</v>
      </c>
      <c r="F33">
        <v>116.3</v>
      </c>
      <c r="G33">
        <v>122.6</v>
      </c>
      <c r="H33">
        <v>112</v>
      </c>
      <c r="I33">
        <v>103.2</v>
      </c>
      <c r="J33">
        <v>110</v>
      </c>
      <c r="K33">
        <v>192.8</v>
      </c>
      <c r="L33">
        <v>106.3</v>
      </c>
      <c r="M33">
        <v>99.5</v>
      </c>
      <c r="N33">
        <v>110.3</v>
      </c>
      <c r="O33">
        <v>111.8</v>
      </c>
      <c r="P33">
        <v>117.1</v>
      </c>
      <c r="Q33">
        <v>122.9</v>
      </c>
      <c r="R33">
        <v>114.1</v>
      </c>
      <c r="S33">
        <v>113.5</v>
      </c>
      <c r="T33">
        <v>110.3</v>
      </c>
      <c r="U33">
        <v>113</v>
      </c>
      <c r="V33">
        <v>111.1</v>
      </c>
      <c r="W33">
        <v>110</v>
      </c>
      <c r="X33">
        <v>110.9</v>
      </c>
      <c r="Y33">
        <v>108.6</v>
      </c>
      <c r="Z33">
        <v>109.5</v>
      </c>
      <c r="AA33">
        <v>108.5</v>
      </c>
      <c r="AB33">
        <v>111.3</v>
      </c>
      <c r="AC33">
        <v>107.9</v>
      </c>
      <c r="AD33">
        <v>109.6</v>
      </c>
      <c r="AE33">
        <v>115</v>
      </c>
      <c r="AF33">
        <f t="shared" si="0"/>
        <v>118.47499999999998</v>
      </c>
      <c r="AG33">
        <v>114.1</v>
      </c>
      <c r="AH33">
        <f>AVERAGE(Table1[[#This Row],[Clothing]:[Footwear]])</f>
        <v>111.9</v>
      </c>
      <c r="AI33">
        <v>110</v>
      </c>
      <c r="AJ33">
        <v>110.9</v>
      </c>
      <c r="AK33">
        <v>109.5</v>
      </c>
      <c r="AL33">
        <v>108.5</v>
      </c>
      <c r="AM33" t="str">
        <f t="shared" si="1"/>
        <v>Pre-COVID</v>
      </c>
    </row>
    <row r="34" spans="1:39" x14ac:dyDescent="0.35">
      <c r="A34" t="s">
        <v>34</v>
      </c>
      <c r="B34">
        <v>2013</v>
      </c>
      <c r="C34" t="s">
        <v>45</v>
      </c>
      <c r="D34" s="4">
        <f>DATE(B34,MATCH(C34,{"January","February","March","April","May","June","July","August","September","October","November","December"},0),1)</f>
        <v>41579</v>
      </c>
      <c r="E34">
        <v>118.1</v>
      </c>
      <c r="F34">
        <v>115.4</v>
      </c>
      <c r="G34">
        <v>118.7</v>
      </c>
      <c r="H34">
        <v>112.5</v>
      </c>
      <c r="I34">
        <v>106.8</v>
      </c>
      <c r="J34">
        <v>113.5</v>
      </c>
      <c r="K34">
        <v>183.1</v>
      </c>
      <c r="L34">
        <v>108.2</v>
      </c>
      <c r="M34">
        <v>102.2</v>
      </c>
      <c r="N34">
        <v>109.4</v>
      </c>
      <c r="O34">
        <v>111.8</v>
      </c>
      <c r="P34">
        <v>116.5</v>
      </c>
      <c r="Q34">
        <v>122.6</v>
      </c>
      <c r="R34">
        <v>113.1</v>
      </c>
      <c r="S34">
        <v>114.2</v>
      </c>
      <c r="T34">
        <v>111.9</v>
      </c>
      <c r="U34">
        <v>113.8</v>
      </c>
      <c r="V34">
        <v>111.1</v>
      </c>
      <c r="W34">
        <v>111.6</v>
      </c>
      <c r="X34">
        <v>111.1</v>
      </c>
      <c r="Y34">
        <v>109.3</v>
      </c>
      <c r="Z34">
        <v>109.5</v>
      </c>
      <c r="AA34">
        <v>108.6</v>
      </c>
      <c r="AB34">
        <v>111.2</v>
      </c>
      <c r="AC34">
        <v>108.1</v>
      </c>
      <c r="AD34">
        <v>109.7</v>
      </c>
      <c r="AE34">
        <v>116.3</v>
      </c>
      <c r="AF34">
        <f t="shared" si="0"/>
        <v>118.01666666666667</v>
      </c>
      <c r="AG34">
        <v>113.1</v>
      </c>
      <c r="AH34">
        <f>AVERAGE(Table1[[#This Row],[Clothing]:[Footwear]])</f>
        <v>113.05000000000001</v>
      </c>
      <c r="AI34">
        <v>111.6</v>
      </c>
      <c r="AJ34">
        <v>111.1</v>
      </c>
      <c r="AK34">
        <v>109.5</v>
      </c>
      <c r="AL34">
        <v>108.6</v>
      </c>
      <c r="AM34" t="str">
        <f t="shared" si="1"/>
        <v>Pre-COVID</v>
      </c>
    </row>
    <row r="35" spans="1:39" x14ac:dyDescent="0.35">
      <c r="A35" t="s">
        <v>30</v>
      </c>
      <c r="B35">
        <v>2013</v>
      </c>
      <c r="C35" t="s">
        <v>46</v>
      </c>
      <c r="D35" s="4">
        <f>DATE(B35,MATCH(C35,{"January","February","March","April","May","June","July","August","September","October","November","December"},0),1)</f>
        <v>41609</v>
      </c>
      <c r="E35">
        <v>118.4</v>
      </c>
      <c r="F35">
        <v>115.9</v>
      </c>
      <c r="G35">
        <v>120.4</v>
      </c>
      <c r="H35">
        <v>113.8</v>
      </c>
      <c r="I35">
        <v>109.5</v>
      </c>
      <c r="J35">
        <v>115.5</v>
      </c>
      <c r="K35">
        <v>145.69999999999999</v>
      </c>
      <c r="L35">
        <v>109.5</v>
      </c>
      <c r="M35">
        <v>102.9</v>
      </c>
      <c r="N35">
        <v>109.8</v>
      </c>
      <c r="O35">
        <v>112.1</v>
      </c>
      <c r="P35">
        <v>116.8</v>
      </c>
      <c r="Q35">
        <v>118.7</v>
      </c>
      <c r="R35">
        <v>113.6</v>
      </c>
      <c r="S35">
        <v>115.8</v>
      </c>
      <c r="T35">
        <v>114</v>
      </c>
      <c r="U35">
        <v>115.5</v>
      </c>
      <c r="V35">
        <v>110.7</v>
      </c>
      <c r="W35">
        <v>112.8</v>
      </c>
      <c r="X35">
        <v>112.1</v>
      </c>
      <c r="Y35">
        <v>110.1</v>
      </c>
      <c r="Z35">
        <v>109.9</v>
      </c>
      <c r="AA35">
        <v>109.2</v>
      </c>
      <c r="AB35">
        <v>111.6</v>
      </c>
      <c r="AC35">
        <v>108.1</v>
      </c>
      <c r="AD35">
        <v>110.1</v>
      </c>
      <c r="AE35">
        <v>115.5</v>
      </c>
      <c r="AF35">
        <f t="shared" si="0"/>
        <v>115.85833333333333</v>
      </c>
      <c r="AG35">
        <v>113.6</v>
      </c>
      <c r="AH35">
        <f>AVERAGE(Table1[[#This Row],[Clothing]:[Footwear]])</f>
        <v>114.9</v>
      </c>
      <c r="AI35">
        <v>112.8</v>
      </c>
      <c r="AJ35">
        <v>112.1</v>
      </c>
      <c r="AK35">
        <v>109.9</v>
      </c>
      <c r="AL35">
        <v>109.2</v>
      </c>
      <c r="AM35" t="str">
        <f t="shared" si="1"/>
        <v>Pre-COVID</v>
      </c>
    </row>
    <row r="36" spans="1:39" x14ac:dyDescent="0.35">
      <c r="A36" t="s">
        <v>33</v>
      </c>
      <c r="B36">
        <v>2013</v>
      </c>
      <c r="C36" t="s">
        <v>46</v>
      </c>
      <c r="D36" s="4">
        <f>DATE(B36,MATCH(C36,{"January","February","March","April","May","June","July","August","September","October","November","December"},0),1)</f>
        <v>41609</v>
      </c>
      <c r="E36">
        <v>120.5</v>
      </c>
      <c r="F36">
        <v>118.1</v>
      </c>
      <c r="G36">
        <v>128.5</v>
      </c>
      <c r="H36">
        <v>112.8</v>
      </c>
      <c r="I36">
        <v>103.4</v>
      </c>
      <c r="J36">
        <v>110.7</v>
      </c>
      <c r="K36">
        <v>144.80000000000001</v>
      </c>
      <c r="L36">
        <v>107.1</v>
      </c>
      <c r="M36">
        <v>98.6</v>
      </c>
      <c r="N36">
        <v>111.9</v>
      </c>
      <c r="O36">
        <v>112.1</v>
      </c>
      <c r="P36">
        <v>118.1</v>
      </c>
      <c r="Q36">
        <v>117.8</v>
      </c>
      <c r="R36">
        <v>115</v>
      </c>
      <c r="S36">
        <v>114.2</v>
      </c>
      <c r="T36">
        <v>110.9</v>
      </c>
      <c r="U36">
        <v>113.7</v>
      </c>
      <c r="V36">
        <v>110.7</v>
      </c>
      <c r="W36">
        <v>110.4</v>
      </c>
      <c r="X36">
        <v>111.3</v>
      </c>
      <c r="Y36">
        <v>109</v>
      </c>
      <c r="Z36">
        <v>109.7</v>
      </c>
      <c r="AA36">
        <v>108.9</v>
      </c>
      <c r="AB36">
        <v>111.4</v>
      </c>
      <c r="AC36">
        <v>107.7</v>
      </c>
      <c r="AD36">
        <v>109.8</v>
      </c>
      <c r="AE36">
        <v>113.3</v>
      </c>
      <c r="AF36">
        <f t="shared" si="0"/>
        <v>115.55000000000001</v>
      </c>
      <c r="AG36">
        <v>115</v>
      </c>
      <c r="AH36">
        <f>AVERAGE(Table1[[#This Row],[Clothing]:[Footwear]])</f>
        <v>112.55000000000001</v>
      </c>
      <c r="AI36">
        <v>110.4</v>
      </c>
      <c r="AJ36">
        <v>111.3</v>
      </c>
      <c r="AK36">
        <v>109.7</v>
      </c>
      <c r="AL36">
        <v>108.9</v>
      </c>
      <c r="AM36" t="str">
        <f t="shared" si="1"/>
        <v>Pre-COVID</v>
      </c>
    </row>
    <row r="37" spans="1:39" x14ac:dyDescent="0.35">
      <c r="A37" t="s">
        <v>34</v>
      </c>
      <c r="B37">
        <v>2013</v>
      </c>
      <c r="C37" t="s">
        <v>46</v>
      </c>
      <c r="D37" s="4">
        <f>DATE(B37,MATCH(C37,{"January","February","March","April","May","June","July","August","September","October","November","December"},0),1)</f>
        <v>41609</v>
      </c>
      <c r="E37">
        <v>119.1</v>
      </c>
      <c r="F37">
        <v>116.7</v>
      </c>
      <c r="G37">
        <v>123.5</v>
      </c>
      <c r="H37">
        <v>113.4</v>
      </c>
      <c r="I37">
        <v>107.3</v>
      </c>
      <c r="J37">
        <v>113.3</v>
      </c>
      <c r="K37">
        <v>145.4</v>
      </c>
      <c r="L37">
        <v>108.7</v>
      </c>
      <c r="M37">
        <v>101.5</v>
      </c>
      <c r="N37">
        <v>110.5</v>
      </c>
      <c r="O37">
        <v>112.1</v>
      </c>
      <c r="P37">
        <v>117.4</v>
      </c>
      <c r="Q37">
        <v>118.4</v>
      </c>
      <c r="R37">
        <v>114</v>
      </c>
      <c r="S37">
        <v>115.2</v>
      </c>
      <c r="T37">
        <v>112.7</v>
      </c>
      <c r="U37">
        <v>114.8</v>
      </c>
      <c r="V37">
        <v>110.7</v>
      </c>
      <c r="W37">
        <v>111.9</v>
      </c>
      <c r="X37">
        <v>111.7</v>
      </c>
      <c r="Y37">
        <v>109.7</v>
      </c>
      <c r="Z37">
        <v>109.8</v>
      </c>
      <c r="AA37">
        <v>109</v>
      </c>
      <c r="AB37">
        <v>111.5</v>
      </c>
      <c r="AC37">
        <v>107.9</v>
      </c>
      <c r="AD37">
        <v>110</v>
      </c>
      <c r="AE37">
        <v>114.5</v>
      </c>
      <c r="AF37">
        <f t="shared" si="0"/>
        <v>115.74166666666667</v>
      </c>
      <c r="AG37">
        <v>114</v>
      </c>
      <c r="AH37">
        <f>AVERAGE(Table1[[#This Row],[Clothing]:[Footwear]])</f>
        <v>113.95</v>
      </c>
      <c r="AI37">
        <v>111.9</v>
      </c>
      <c r="AJ37">
        <v>111.7</v>
      </c>
      <c r="AK37">
        <v>109.8</v>
      </c>
      <c r="AL37">
        <v>109</v>
      </c>
      <c r="AM37" t="str">
        <f t="shared" si="1"/>
        <v>Pre-COVID</v>
      </c>
    </row>
    <row r="38" spans="1:39" x14ac:dyDescent="0.35">
      <c r="A38" t="s">
        <v>30</v>
      </c>
      <c r="B38">
        <v>2014</v>
      </c>
      <c r="C38" t="s">
        <v>31</v>
      </c>
      <c r="D38" s="4">
        <f>DATE(B38,MATCH(C38,{"January","February","March","April","May","June","July","August","September","October","November","December"},0),1)</f>
        <v>41640</v>
      </c>
      <c r="E38">
        <v>118.9</v>
      </c>
      <c r="F38">
        <v>117.1</v>
      </c>
      <c r="G38">
        <v>120.5</v>
      </c>
      <c r="H38">
        <v>114.4</v>
      </c>
      <c r="I38">
        <v>109</v>
      </c>
      <c r="J38">
        <v>115.5</v>
      </c>
      <c r="K38">
        <v>123.9</v>
      </c>
      <c r="L38">
        <v>109.6</v>
      </c>
      <c r="M38">
        <v>101.8</v>
      </c>
      <c r="N38">
        <v>110.2</v>
      </c>
      <c r="O38">
        <v>112.4</v>
      </c>
      <c r="P38">
        <v>117.3</v>
      </c>
      <c r="Q38">
        <v>116</v>
      </c>
      <c r="R38">
        <v>114</v>
      </c>
      <c r="S38">
        <v>116.5</v>
      </c>
      <c r="T38">
        <v>114.5</v>
      </c>
      <c r="U38">
        <v>116.2</v>
      </c>
      <c r="V38">
        <v>111.6</v>
      </c>
      <c r="W38">
        <v>113</v>
      </c>
      <c r="X38">
        <v>112.6</v>
      </c>
      <c r="Y38">
        <v>110.6</v>
      </c>
      <c r="Z38">
        <v>110.5</v>
      </c>
      <c r="AA38">
        <v>109.6</v>
      </c>
      <c r="AB38">
        <v>111.8</v>
      </c>
      <c r="AC38">
        <v>108.3</v>
      </c>
      <c r="AD38">
        <v>110.6</v>
      </c>
      <c r="AE38">
        <v>114.2</v>
      </c>
      <c r="AF38">
        <f t="shared" si="0"/>
        <v>114.21666666666668</v>
      </c>
      <c r="AG38">
        <v>114</v>
      </c>
      <c r="AH38">
        <f>AVERAGE(Table1[[#This Row],[Clothing]:[Footwear]])</f>
        <v>115.5</v>
      </c>
      <c r="AI38">
        <v>113</v>
      </c>
      <c r="AJ38">
        <v>112.6</v>
      </c>
      <c r="AK38">
        <v>110.5</v>
      </c>
      <c r="AL38">
        <v>109.6</v>
      </c>
      <c r="AM38" t="str">
        <f t="shared" si="1"/>
        <v>Pre-COVID</v>
      </c>
    </row>
    <row r="39" spans="1:39" x14ac:dyDescent="0.35">
      <c r="A39" t="s">
        <v>33</v>
      </c>
      <c r="B39">
        <v>2014</v>
      </c>
      <c r="C39" t="s">
        <v>31</v>
      </c>
      <c r="D39" s="4">
        <f>DATE(B39,MATCH(C39,{"January","February","March","April","May","June","July","August","September","October","November","December"},0),1)</f>
        <v>41640</v>
      </c>
      <c r="E39">
        <v>121.2</v>
      </c>
      <c r="F39">
        <v>122</v>
      </c>
      <c r="G39">
        <v>129.9</v>
      </c>
      <c r="H39">
        <v>113.6</v>
      </c>
      <c r="I39">
        <v>102.9</v>
      </c>
      <c r="J39">
        <v>112.1</v>
      </c>
      <c r="K39">
        <v>118.9</v>
      </c>
      <c r="L39">
        <v>107.5</v>
      </c>
      <c r="M39">
        <v>96.9</v>
      </c>
      <c r="N39">
        <v>112.7</v>
      </c>
      <c r="O39">
        <v>112.1</v>
      </c>
      <c r="P39">
        <v>119</v>
      </c>
      <c r="Q39">
        <v>115.5</v>
      </c>
      <c r="R39">
        <v>115.7</v>
      </c>
      <c r="S39">
        <v>114.8</v>
      </c>
      <c r="T39">
        <v>111.3</v>
      </c>
      <c r="U39">
        <v>114.3</v>
      </c>
      <c r="V39">
        <v>111.6</v>
      </c>
      <c r="W39">
        <v>111</v>
      </c>
      <c r="X39">
        <v>111.9</v>
      </c>
      <c r="Y39">
        <v>109.7</v>
      </c>
      <c r="Z39">
        <v>110.8</v>
      </c>
      <c r="AA39">
        <v>109.8</v>
      </c>
      <c r="AB39">
        <v>111.5</v>
      </c>
      <c r="AC39">
        <v>108</v>
      </c>
      <c r="AD39">
        <v>110.5</v>
      </c>
      <c r="AE39">
        <v>112.9</v>
      </c>
      <c r="AF39">
        <f t="shared" si="0"/>
        <v>114.06666666666666</v>
      </c>
      <c r="AG39">
        <v>115.7</v>
      </c>
      <c r="AH39">
        <f>AVERAGE(Table1[[#This Row],[Clothing]:[Footwear]])</f>
        <v>113.05</v>
      </c>
      <c r="AI39">
        <v>111</v>
      </c>
      <c r="AJ39">
        <v>111.9</v>
      </c>
      <c r="AK39">
        <v>110.8</v>
      </c>
      <c r="AL39">
        <v>109.8</v>
      </c>
      <c r="AM39" t="str">
        <f t="shared" si="1"/>
        <v>Pre-COVID</v>
      </c>
    </row>
    <row r="40" spans="1:39" x14ac:dyDescent="0.35">
      <c r="A40" t="s">
        <v>34</v>
      </c>
      <c r="B40">
        <v>2014</v>
      </c>
      <c r="C40" t="s">
        <v>31</v>
      </c>
      <c r="D40" s="4">
        <f>DATE(B40,MATCH(C40,{"January","February","March","April","May","June","July","August","September","October","November","December"},0),1)</f>
        <v>41640</v>
      </c>
      <c r="E40">
        <v>119.6</v>
      </c>
      <c r="F40">
        <v>118.8</v>
      </c>
      <c r="G40">
        <v>124.1</v>
      </c>
      <c r="H40">
        <v>114.1</v>
      </c>
      <c r="I40">
        <v>106.8</v>
      </c>
      <c r="J40">
        <v>113.9</v>
      </c>
      <c r="K40">
        <v>122.2</v>
      </c>
      <c r="L40">
        <v>108.9</v>
      </c>
      <c r="M40">
        <v>100.2</v>
      </c>
      <c r="N40">
        <v>111</v>
      </c>
      <c r="O40">
        <v>112.3</v>
      </c>
      <c r="P40">
        <v>118.1</v>
      </c>
      <c r="Q40">
        <v>115.8</v>
      </c>
      <c r="R40">
        <v>114.5</v>
      </c>
      <c r="S40">
        <v>115.8</v>
      </c>
      <c r="T40">
        <v>113.2</v>
      </c>
      <c r="U40">
        <v>115.4</v>
      </c>
      <c r="V40">
        <v>111.6</v>
      </c>
      <c r="W40">
        <v>112.2</v>
      </c>
      <c r="X40">
        <v>112.3</v>
      </c>
      <c r="Y40">
        <v>110.3</v>
      </c>
      <c r="Z40">
        <v>110.7</v>
      </c>
      <c r="AA40">
        <v>109.7</v>
      </c>
      <c r="AB40">
        <v>111.6</v>
      </c>
      <c r="AC40">
        <v>108.2</v>
      </c>
      <c r="AD40">
        <v>110.6</v>
      </c>
      <c r="AE40">
        <v>113.6</v>
      </c>
      <c r="AF40">
        <f t="shared" si="0"/>
        <v>114.16666666666664</v>
      </c>
      <c r="AG40">
        <v>114.5</v>
      </c>
      <c r="AH40">
        <f>AVERAGE(Table1[[#This Row],[Clothing]:[Footwear]])</f>
        <v>114.5</v>
      </c>
      <c r="AI40">
        <v>112.2</v>
      </c>
      <c r="AJ40">
        <v>112.3</v>
      </c>
      <c r="AK40">
        <v>110.7</v>
      </c>
      <c r="AL40">
        <v>109.7</v>
      </c>
      <c r="AM40" t="str">
        <f t="shared" si="1"/>
        <v>Pre-COVID</v>
      </c>
    </row>
    <row r="41" spans="1:39" x14ac:dyDescent="0.35">
      <c r="A41" t="s">
        <v>30</v>
      </c>
      <c r="B41">
        <v>2014</v>
      </c>
      <c r="C41" t="s">
        <v>35</v>
      </c>
      <c r="D41" s="4">
        <f>DATE(B41,MATCH(C41,{"January","February","March","April","May","June","July","August","September","October","November","December"},0),1)</f>
        <v>41671</v>
      </c>
      <c r="E41">
        <v>119.4</v>
      </c>
      <c r="F41">
        <v>117.7</v>
      </c>
      <c r="G41">
        <v>121.2</v>
      </c>
      <c r="H41">
        <v>115</v>
      </c>
      <c r="I41">
        <v>109</v>
      </c>
      <c r="J41">
        <v>116.6</v>
      </c>
      <c r="K41">
        <v>116</v>
      </c>
      <c r="L41">
        <v>109.8</v>
      </c>
      <c r="M41">
        <v>101.1</v>
      </c>
      <c r="N41">
        <v>110.4</v>
      </c>
      <c r="O41">
        <v>112.9</v>
      </c>
      <c r="P41">
        <v>117.8</v>
      </c>
      <c r="Q41">
        <v>115.3</v>
      </c>
      <c r="R41">
        <v>114.2</v>
      </c>
      <c r="S41">
        <v>117.1</v>
      </c>
      <c r="T41">
        <v>114.5</v>
      </c>
      <c r="U41">
        <v>116.7</v>
      </c>
      <c r="V41">
        <v>112.5</v>
      </c>
      <c r="W41">
        <v>113.2</v>
      </c>
      <c r="X41">
        <v>112.9</v>
      </c>
      <c r="Y41">
        <v>110.9</v>
      </c>
      <c r="Z41">
        <v>110.8</v>
      </c>
      <c r="AA41">
        <v>109.9</v>
      </c>
      <c r="AB41">
        <v>112</v>
      </c>
      <c r="AC41">
        <v>108.7</v>
      </c>
      <c r="AD41">
        <v>110.9</v>
      </c>
      <c r="AE41">
        <v>114</v>
      </c>
      <c r="AF41">
        <f t="shared" si="0"/>
        <v>113.90833333333335</v>
      </c>
      <c r="AG41">
        <v>114.2</v>
      </c>
      <c r="AH41">
        <f>AVERAGE(Table1[[#This Row],[Clothing]:[Footwear]])</f>
        <v>115.8</v>
      </c>
      <c r="AI41">
        <v>113.2</v>
      </c>
      <c r="AJ41">
        <v>112.9</v>
      </c>
      <c r="AK41">
        <v>110.8</v>
      </c>
      <c r="AL41">
        <v>109.9</v>
      </c>
      <c r="AM41" t="str">
        <f t="shared" si="1"/>
        <v>Pre-COVID</v>
      </c>
    </row>
    <row r="42" spans="1:39" x14ac:dyDescent="0.35">
      <c r="A42" t="s">
        <v>33</v>
      </c>
      <c r="B42">
        <v>2014</v>
      </c>
      <c r="C42" t="s">
        <v>35</v>
      </c>
      <c r="D42" s="4">
        <f>DATE(B42,MATCH(C42,{"January","February","March","April","May","June","July","August","September","October","November","December"},0),1)</f>
        <v>41671</v>
      </c>
      <c r="E42">
        <v>121.9</v>
      </c>
      <c r="F42">
        <v>122</v>
      </c>
      <c r="G42">
        <v>124.5</v>
      </c>
      <c r="H42">
        <v>115.2</v>
      </c>
      <c r="I42">
        <v>102.5</v>
      </c>
      <c r="J42">
        <v>114.1</v>
      </c>
      <c r="K42">
        <v>111.5</v>
      </c>
      <c r="L42">
        <v>108.2</v>
      </c>
      <c r="M42">
        <v>95.4</v>
      </c>
      <c r="N42">
        <v>113.5</v>
      </c>
      <c r="O42">
        <v>112.1</v>
      </c>
      <c r="P42">
        <v>119.9</v>
      </c>
      <c r="Q42">
        <v>115.2</v>
      </c>
      <c r="R42">
        <v>116.2</v>
      </c>
      <c r="S42">
        <v>115.3</v>
      </c>
      <c r="T42">
        <v>111.7</v>
      </c>
      <c r="U42">
        <v>114.7</v>
      </c>
      <c r="V42">
        <v>112.5</v>
      </c>
      <c r="W42">
        <v>111.1</v>
      </c>
      <c r="X42">
        <v>112.6</v>
      </c>
      <c r="Y42">
        <v>110.4</v>
      </c>
      <c r="Z42">
        <v>111.3</v>
      </c>
      <c r="AA42">
        <v>110.3</v>
      </c>
      <c r="AB42">
        <v>111.6</v>
      </c>
      <c r="AC42">
        <v>108.7</v>
      </c>
      <c r="AD42">
        <v>111</v>
      </c>
      <c r="AE42">
        <v>113.1</v>
      </c>
      <c r="AF42">
        <f t="shared" si="0"/>
        <v>113.39999999999999</v>
      </c>
      <c r="AG42">
        <v>116.2</v>
      </c>
      <c r="AH42">
        <f>AVERAGE(Table1[[#This Row],[Clothing]:[Footwear]])</f>
        <v>113.5</v>
      </c>
      <c r="AI42">
        <v>111.1</v>
      </c>
      <c r="AJ42">
        <v>112.6</v>
      </c>
      <c r="AK42">
        <v>111.3</v>
      </c>
      <c r="AL42">
        <v>110.3</v>
      </c>
      <c r="AM42" t="str">
        <f t="shared" si="1"/>
        <v>Pre-COVID</v>
      </c>
    </row>
    <row r="43" spans="1:39" x14ac:dyDescent="0.35">
      <c r="A43" t="s">
        <v>34</v>
      </c>
      <c r="B43">
        <v>2014</v>
      </c>
      <c r="C43" t="s">
        <v>35</v>
      </c>
      <c r="D43" s="4">
        <f>DATE(B43,MATCH(C43,{"January","February","March","April","May","June","July","August","September","October","November","December"},0),1)</f>
        <v>41671</v>
      </c>
      <c r="E43">
        <v>120.2</v>
      </c>
      <c r="F43">
        <v>119.2</v>
      </c>
      <c r="G43">
        <v>122.5</v>
      </c>
      <c r="H43">
        <v>115.1</v>
      </c>
      <c r="I43">
        <v>106.6</v>
      </c>
      <c r="J43">
        <v>115.4</v>
      </c>
      <c r="K43">
        <v>114.5</v>
      </c>
      <c r="L43">
        <v>109.3</v>
      </c>
      <c r="M43">
        <v>99.2</v>
      </c>
      <c r="N43">
        <v>111.4</v>
      </c>
      <c r="O43">
        <v>112.6</v>
      </c>
      <c r="P43">
        <v>118.8</v>
      </c>
      <c r="Q43">
        <v>115.3</v>
      </c>
      <c r="R43">
        <v>114.7</v>
      </c>
      <c r="S43">
        <v>116.4</v>
      </c>
      <c r="T43">
        <v>113.3</v>
      </c>
      <c r="U43">
        <v>115.9</v>
      </c>
      <c r="V43">
        <v>112.5</v>
      </c>
      <c r="W43">
        <v>112.4</v>
      </c>
      <c r="X43">
        <v>112.8</v>
      </c>
      <c r="Y43">
        <v>110.7</v>
      </c>
      <c r="Z43">
        <v>111.1</v>
      </c>
      <c r="AA43">
        <v>110.1</v>
      </c>
      <c r="AB43">
        <v>111.8</v>
      </c>
      <c r="AC43">
        <v>108.7</v>
      </c>
      <c r="AD43">
        <v>110.9</v>
      </c>
      <c r="AE43">
        <v>113.6</v>
      </c>
      <c r="AF43">
        <f t="shared" si="0"/>
        <v>113.73333333333333</v>
      </c>
      <c r="AG43">
        <v>114.7</v>
      </c>
      <c r="AH43">
        <f>AVERAGE(Table1[[#This Row],[Clothing]:[Footwear]])</f>
        <v>114.85</v>
      </c>
      <c r="AI43">
        <v>112.4</v>
      </c>
      <c r="AJ43">
        <v>112.8</v>
      </c>
      <c r="AK43">
        <v>111.1</v>
      </c>
      <c r="AL43">
        <v>110.1</v>
      </c>
      <c r="AM43" t="str">
        <f t="shared" si="1"/>
        <v>Pre-COVID</v>
      </c>
    </row>
    <row r="44" spans="1:39" x14ac:dyDescent="0.35">
      <c r="A44" t="s">
        <v>30</v>
      </c>
      <c r="B44">
        <v>2014</v>
      </c>
      <c r="C44" t="s">
        <v>36</v>
      </c>
      <c r="D44" s="4">
        <f>DATE(B44,MATCH(C44,{"January","February","March","April","May","June","July","August","September","October","November","December"},0),1)</f>
        <v>41699</v>
      </c>
      <c r="E44">
        <v>120.1</v>
      </c>
      <c r="F44">
        <v>118.1</v>
      </c>
      <c r="G44">
        <v>120.7</v>
      </c>
      <c r="H44">
        <v>116.1</v>
      </c>
      <c r="I44">
        <v>109.3</v>
      </c>
      <c r="J44">
        <v>119.6</v>
      </c>
      <c r="K44">
        <v>117.9</v>
      </c>
      <c r="L44">
        <v>110.2</v>
      </c>
      <c r="M44">
        <v>101.2</v>
      </c>
      <c r="N44">
        <v>110.7</v>
      </c>
      <c r="O44">
        <v>113</v>
      </c>
      <c r="P44">
        <v>118.3</v>
      </c>
      <c r="Q44">
        <v>116.2</v>
      </c>
      <c r="R44">
        <v>114.6</v>
      </c>
      <c r="S44">
        <v>117.5</v>
      </c>
      <c r="T44">
        <v>114.9</v>
      </c>
      <c r="U44">
        <v>117.2</v>
      </c>
      <c r="V44">
        <v>113.2</v>
      </c>
      <c r="W44">
        <v>113.4</v>
      </c>
      <c r="X44">
        <v>113.4</v>
      </c>
      <c r="Y44">
        <v>111.4</v>
      </c>
      <c r="Z44">
        <v>111.2</v>
      </c>
      <c r="AA44">
        <v>110.2</v>
      </c>
      <c r="AB44">
        <v>112.4</v>
      </c>
      <c r="AC44">
        <v>108.9</v>
      </c>
      <c r="AD44">
        <v>111.3</v>
      </c>
      <c r="AE44">
        <v>114.6</v>
      </c>
      <c r="AF44">
        <f t="shared" si="0"/>
        <v>114.60000000000001</v>
      </c>
      <c r="AG44">
        <v>114.6</v>
      </c>
      <c r="AH44">
        <f>AVERAGE(Table1[[#This Row],[Clothing]:[Footwear]])</f>
        <v>116.2</v>
      </c>
      <c r="AI44">
        <v>113.4</v>
      </c>
      <c r="AJ44">
        <v>113.4</v>
      </c>
      <c r="AK44">
        <v>111.2</v>
      </c>
      <c r="AL44">
        <v>110.2</v>
      </c>
      <c r="AM44" t="str">
        <f t="shared" si="1"/>
        <v>Pre-COVID</v>
      </c>
    </row>
    <row r="45" spans="1:39" x14ac:dyDescent="0.35">
      <c r="A45" t="s">
        <v>33</v>
      </c>
      <c r="B45">
        <v>2014</v>
      </c>
      <c r="C45" t="s">
        <v>36</v>
      </c>
      <c r="D45" s="4">
        <f>DATE(B45,MATCH(C45,{"January","February","March","April","May","June","July","August","September","October","November","December"},0),1)</f>
        <v>41699</v>
      </c>
      <c r="E45">
        <v>122.1</v>
      </c>
      <c r="F45">
        <v>121.4</v>
      </c>
      <c r="G45">
        <v>121.5</v>
      </c>
      <c r="H45">
        <v>116.2</v>
      </c>
      <c r="I45">
        <v>102.8</v>
      </c>
      <c r="J45">
        <v>117.7</v>
      </c>
      <c r="K45">
        <v>113.3</v>
      </c>
      <c r="L45">
        <v>108.9</v>
      </c>
      <c r="M45">
        <v>96.3</v>
      </c>
      <c r="N45">
        <v>114.1</v>
      </c>
      <c r="O45">
        <v>112.2</v>
      </c>
      <c r="P45">
        <v>120.5</v>
      </c>
      <c r="Q45">
        <v>116</v>
      </c>
      <c r="R45">
        <v>116.7</v>
      </c>
      <c r="S45">
        <v>115.8</v>
      </c>
      <c r="T45">
        <v>112.1</v>
      </c>
      <c r="U45">
        <v>115.2</v>
      </c>
      <c r="V45">
        <v>113.2</v>
      </c>
      <c r="W45">
        <v>110.9</v>
      </c>
      <c r="X45">
        <v>113</v>
      </c>
      <c r="Y45">
        <v>110.8</v>
      </c>
      <c r="Z45">
        <v>111.6</v>
      </c>
      <c r="AA45">
        <v>110.9</v>
      </c>
      <c r="AB45">
        <v>111.8</v>
      </c>
      <c r="AC45">
        <v>109.2</v>
      </c>
      <c r="AD45">
        <v>111.4</v>
      </c>
      <c r="AE45">
        <v>113.7</v>
      </c>
      <c r="AF45">
        <f t="shared" si="0"/>
        <v>113.91666666666667</v>
      </c>
      <c r="AG45">
        <v>116.7</v>
      </c>
      <c r="AH45">
        <f>AVERAGE(Table1[[#This Row],[Clothing]:[Footwear]])</f>
        <v>113.94999999999999</v>
      </c>
      <c r="AI45">
        <v>110.9</v>
      </c>
      <c r="AJ45">
        <v>113</v>
      </c>
      <c r="AK45">
        <v>111.6</v>
      </c>
      <c r="AL45">
        <v>110.9</v>
      </c>
      <c r="AM45" t="str">
        <f t="shared" si="1"/>
        <v>Pre-COVID</v>
      </c>
    </row>
    <row r="46" spans="1:39" x14ac:dyDescent="0.35">
      <c r="A46" t="s">
        <v>34</v>
      </c>
      <c r="B46">
        <v>2014</v>
      </c>
      <c r="C46" t="s">
        <v>36</v>
      </c>
      <c r="D46" s="4">
        <f>DATE(B46,MATCH(C46,{"January","February","March","April","May","June","July","August","September","October","November","December"},0),1)</f>
        <v>41699</v>
      </c>
      <c r="E46">
        <v>120.7</v>
      </c>
      <c r="F46">
        <v>119.3</v>
      </c>
      <c r="G46">
        <v>121</v>
      </c>
      <c r="H46">
        <v>116.1</v>
      </c>
      <c r="I46">
        <v>106.9</v>
      </c>
      <c r="J46">
        <v>118.7</v>
      </c>
      <c r="K46">
        <v>116.3</v>
      </c>
      <c r="L46">
        <v>109.8</v>
      </c>
      <c r="M46">
        <v>99.6</v>
      </c>
      <c r="N46">
        <v>111.8</v>
      </c>
      <c r="O46">
        <v>112.7</v>
      </c>
      <c r="P46">
        <v>119.3</v>
      </c>
      <c r="Q46">
        <v>116.1</v>
      </c>
      <c r="R46">
        <v>115.2</v>
      </c>
      <c r="S46">
        <v>116.8</v>
      </c>
      <c r="T46">
        <v>113.7</v>
      </c>
      <c r="U46">
        <v>116.4</v>
      </c>
      <c r="V46">
        <v>113.2</v>
      </c>
      <c r="W46">
        <v>112.5</v>
      </c>
      <c r="X46">
        <v>113.2</v>
      </c>
      <c r="Y46">
        <v>111.2</v>
      </c>
      <c r="Z46">
        <v>111.4</v>
      </c>
      <c r="AA46">
        <v>110.6</v>
      </c>
      <c r="AB46">
        <v>112</v>
      </c>
      <c r="AC46">
        <v>109</v>
      </c>
      <c r="AD46">
        <v>111.3</v>
      </c>
      <c r="AE46">
        <v>114.2</v>
      </c>
      <c r="AF46">
        <f t="shared" si="0"/>
        <v>114.34999999999998</v>
      </c>
      <c r="AG46">
        <v>115.2</v>
      </c>
      <c r="AH46">
        <f>AVERAGE(Table1[[#This Row],[Clothing]:[Footwear]])</f>
        <v>115.25</v>
      </c>
      <c r="AI46">
        <v>112.5</v>
      </c>
      <c r="AJ46">
        <v>113.2</v>
      </c>
      <c r="AK46">
        <v>111.4</v>
      </c>
      <c r="AL46">
        <v>110.6</v>
      </c>
      <c r="AM46" t="str">
        <f t="shared" si="1"/>
        <v>Pre-COVID</v>
      </c>
    </row>
    <row r="47" spans="1:39" x14ac:dyDescent="0.35">
      <c r="A47" t="s">
        <v>30</v>
      </c>
      <c r="B47">
        <v>2014</v>
      </c>
      <c r="C47" t="s">
        <v>37</v>
      </c>
      <c r="D47" s="4">
        <f>DATE(B47,MATCH(C47,{"January","February","March","April","May","June","July","August","September","October","November","December"},0),1)</f>
        <v>41730</v>
      </c>
      <c r="E47">
        <v>120.2</v>
      </c>
      <c r="F47">
        <v>118.9</v>
      </c>
      <c r="G47">
        <v>118.1</v>
      </c>
      <c r="H47">
        <v>117</v>
      </c>
      <c r="I47">
        <v>109.7</v>
      </c>
      <c r="J47">
        <v>125.5</v>
      </c>
      <c r="K47">
        <v>120.5</v>
      </c>
      <c r="L47">
        <v>111</v>
      </c>
      <c r="M47">
        <v>102.6</v>
      </c>
      <c r="N47">
        <v>111.2</v>
      </c>
      <c r="O47">
        <v>113.5</v>
      </c>
      <c r="P47">
        <v>118.7</v>
      </c>
      <c r="Q47">
        <v>117.2</v>
      </c>
      <c r="R47">
        <v>115.4</v>
      </c>
      <c r="S47">
        <v>118.1</v>
      </c>
      <c r="T47">
        <v>116.1</v>
      </c>
      <c r="U47">
        <v>117.8</v>
      </c>
      <c r="V47">
        <v>113.9</v>
      </c>
      <c r="W47">
        <v>113.4</v>
      </c>
      <c r="X47">
        <v>113.7</v>
      </c>
      <c r="Y47">
        <v>111.8</v>
      </c>
      <c r="Z47">
        <v>111.2</v>
      </c>
      <c r="AA47">
        <v>110.5</v>
      </c>
      <c r="AB47">
        <v>113</v>
      </c>
      <c r="AC47">
        <v>108.9</v>
      </c>
      <c r="AD47">
        <v>111.5</v>
      </c>
      <c r="AE47">
        <v>115.4</v>
      </c>
      <c r="AF47">
        <f t="shared" si="0"/>
        <v>115.575</v>
      </c>
      <c r="AG47">
        <v>115.4</v>
      </c>
      <c r="AH47">
        <f>AVERAGE(Table1[[#This Row],[Clothing]:[Footwear]])</f>
        <v>117.1</v>
      </c>
      <c r="AI47">
        <v>113.4</v>
      </c>
      <c r="AJ47">
        <v>113.7</v>
      </c>
      <c r="AK47">
        <v>111.2</v>
      </c>
      <c r="AL47">
        <v>110.5</v>
      </c>
      <c r="AM47" t="str">
        <f t="shared" si="1"/>
        <v>Pre-COVID</v>
      </c>
    </row>
    <row r="48" spans="1:39" x14ac:dyDescent="0.35">
      <c r="A48" t="s">
        <v>33</v>
      </c>
      <c r="B48">
        <v>2014</v>
      </c>
      <c r="C48" t="s">
        <v>37</v>
      </c>
      <c r="D48" s="4">
        <f>DATE(B48,MATCH(C48,{"January","February","March","April","May","June","July","August","September","October","November","December"},0),1)</f>
        <v>41730</v>
      </c>
      <c r="E48">
        <v>122.5</v>
      </c>
      <c r="F48">
        <v>121.7</v>
      </c>
      <c r="G48">
        <v>113.3</v>
      </c>
      <c r="H48">
        <v>117</v>
      </c>
      <c r="I48">
        <v>103.1</v>
      </c>
      <c r="J48">
        <v>126.7</v>
      </c>
      <c r="K48">
        <v>121.2</v>
      </c>
      <c r="L48">
        <v>111</v>
      </c>
      <c r="M48">
        <v>100.3</v>
      </c>
      <c r="N48">
        <v>115.3</v>
      </c>
      <c r="O48">
        <v>112.7</v>
      </c>
      <c r="P48">
        <v>121</v>
      </c>
      <c r="Q48">
        <v>118.2</v>
      </c>
      <c r="R48">
        <v>117.6</v>
      </c>
      <c r="S48">
        <v>116.3</v>
      </c>
      <c r="T48">
        <v>112.5</v>
      </c>
      <c r="U48">
        <v>115.7</v>
      </c>
      <c r="V48">
        <v>113.9</v>
      </c>
      <c r="W48">
        <v>110.9</v>
      </c>
      <c r="X48">
        <v>113.4</v>
      </c>
      <c r="Y48">
        <v>111</v>
      </c>
      <c r="Z48">
        <v>111.2</v>
      </c>
      <c r="AA48">
        <v>111.2</v>
      </c>
      <c r="AB48">
        <v>112.5</v>
      </c>
      <c r="AC48">
        <v>109.1</v>
      </c>
      <c r="AD48">
        <v>111.4</v>
      </c>
      <c r="AE48">
        <v>114.7</v>
      </c>
      <c r="AF48">
        <f t="shared" si="0"/>
        <v>115.48333333333335</v>
      </c>
      <c r="AG48">
        <v>117.6</v>
      </c>
      <c r="AH48">
        <f>AVERAGE(Table1[[#This Row],[Clothing]:[Footwear]])</f>
        <v>114.4</v>
      </c>
      <c r="AI48">
        <v>110.9</v>
      </c>
      <c r="AJ48">
        <v>113.4</v>
      </c>
      <c r="AK48">
        <v>111.2</v>
      </c>
      <c r="AL48">
        <v>111.2</v>
      </c>
      <c r="AM48" t="str">
        <f t="shared" si="1"/>
        <v>Pre-COVID</v>
      </c>
    </row>
    <row r="49" spans="1:39" x14ac:dyDescent="0.35">
      <c r="A49" t="s">
        <v>34</v>
      </c>
      <c r="B49">
        <v>2014</v>
      </c>
      <c r="C49" t="s">
        <v>37</v>
      </c>
      <c r="D49" s="4">
        <f>DATE(B49,MATCH(C49,{"January","February","March","April","May","June","July","August","September","October","November","December"},0),1)</f>
        <v>41730</v>
      </c>
      <c r="E49">
        <v>120.9</v>
      </c>
      <c r="F49">
        <v>119.9</v>
      </c>
      <c r="G49">
        <v>116.2</v>
      </c>
      <c r="H49">
        <v>117</v>
      </c>
      <c r="I49">
        <v>107.3</v>
      </c>
      <c r="J49">
        <v>126.1</v>
      </c>
      <c r="K49">
        <v>120.7</v>
      </c>
      <c r="L49">
        <v>111</v>
      </c>
      <c r="M49">
        <v>101.8</v>
      </c>
      <c r="N49">
        <v>112.6</v>
      </c>
      <c r="O49">
        <v>113.2</v>
      </c>
      <c r="P49">
        <v>119.8</v>
      </c>
      <c r="Q49">
        <v>117.6</v>
      </c>
      <c r="R49">
        <v>116</v>
      </c>
      <c r="S49">
        <v>117.4</v>
      </c>
      <c r="T49">
        <v>114.6</v>
      </c>
      <c r="U49">
        <v>117</v>
      </c>
      <c r="V49">
        <v>113.9</v>
      </c>
      <c r="W49">
        <v>112.5</v>
      </c>
      <c r="X49">
        <v>113.6</v>
      </c>
      <c r="Y49">
        <v>111.5</v>
      </c>
      <c r="Z49">
        <v>111.2</v>
      </c>
      <c r="AA49">
        <v>110.9</v>
      </c>
      <c r="AB49">
        <v>112.7</v>
      </c>
      <c r="AC49">
        <v>109</v>
      </c>
      <c r="AD49">
        <v>111.5</v>
      </c>
      <c r="AE49">
        <v>115.1</v>
      </c>
      <c r="AF49">
        <f t="shared" si="0"/>
        <v>115.54166666666667</v>
      </c>
      <c r="AG49">
        <v>116</v>
      </c>
      <c r="AH49">
        <f>AVERAGE(Table1[[#This Row],[Clothing]:[Footwear]])</f>
        <v>116</v>
      </c>
      <c r="AI49">
        <v>112.5</v>
      </c>
      <c r="AJ49">
        <v>113.6</v>
      </c>
      <c r="AK49">
        <v>111.2</v>
      </c>
      <c r="AL49">
        <v>110.9</v>
      </c>
      <c r="AM49" t="str">
        <f t="shared" si="1"/>
        <v>Pre-COVID</v>
      </c>
    </row>
    <row r="50" spans="1:39" x14ac:dyDescent="0.35">
      <c r="A50" t="s">
        <v>30</v>
      </c>
      <c r="B50">
        <v>2014</v>
      </c>
      <c r="C50" t="s">
        <v>38</v>
      </c>
      <c r="D50" s="4">
        <f>DATE(B50,MATCH(C50,{"January","February","March","April","May","June","July","August","September","October","November","December"},0),1)</f>
        <v>41760</v>
      </c>
      <c r="E50">
        <v>120.3</v>
      </c>
      <c r="F50">
        <v>120.2</v>
      </c>
      <c r="G50">
        <v>116.9</v>
      </c>
      <c r="H50">
        <v>118</v>
      </c>
      <c r="I50">
        <v>110.1</v>
      </c>
      <c r="J50">
        <v>126.3</v>
      </c>
      <c r="K50">
        <v>123.9</v>
      </c>
      <c r="L50">
        <v>111.5</v>
      </c>
      <c r="M50">
        <v>103.5</v>
      </c>
      <c r="N50">
        <v>111.6</v>
      </c>
      <c r="O50">
        <v>114.2</v>
      </c>
      <c r="P50">
        <v>119.2</v>
      </c>
      <c r="Q50">
        <v>118.2</v>
      </c>
      <c r="R50">
        <v>116.3</v>
      </c>
      <c r="S50">
        <v>118.7</v>
      </c>
      <c r="T50">
        <v>116.8</v>
      </c>
      <c r="U50">
        <v>118.5</v>
      </c>
      <c r="V50">
        <v>114.3</v>
      </c>
      <c r="W50">
        <v>113.4</v>
      </c>
      <c r="X50">
        <v>114.1</v>
      </c>
      <c r="Y50">
        <v>112.1</v>
      </c>
      <c r="Z50">
        <v>111.4</v>
      </c>
      <c r="AA50">
        <v>110.9</v>
      </c>
      <c r="AB50">
        <v>113.1</v>
      </c>
      <c r="AC50">
        <v>108.9</v>
      </c>
      <c r="AD50">
        <v>111.8</v>
      </c>
      <c r="AE50">
        <v>116</v>
      </c>
      <c r="AF50">
        <f t="shared" si="0"/>
        <v>116.30833333333332</v>
      </c>
      <c r="AG50">
        <v>116.3</v>
      </c>
      <c r="AH50">
        <f>AVERAGE(Table1[[#This Row],[Clothing]:[Footwear]])</f>
        <v>117.75</v>
      </c>
      <c r="AI50">
        <v>113.4</v>
      </c>
      <c r="AJ50">
        <v>114.1</v>
      </c>
      <c r="AK50">
        <v>111.4</v>
      </c>
      <c r="AL50">
        <v>110.9</v>
      </c>
      <c r="AM50" t="str">
        <f t="shared" si="1"/>
        <v>Pre-COVID</v>
      </c>
    </row>
    <row r="51" spans="1:39" x14ac:dyDescent="0.35">
      <c r="A51" t="s">
        <v>33</v>
      </c>
      <c r="B51">
        <v>2014</v>
      </c>
      <c r="C51" t="s">
        <v>38</v>
      </c>
      <c r="D51" s="4">
        <f>DATE(B51,MATCH(C51,{"January","February","March","April","May","June","July","August","September","October","November","December"},0),1)</f>
        <v>41760</v>
      </c>
      <c r="E51">
        <v>122.7</v>
      </c>
      <c r="F51">
        <v>124.1</v>
      </c>
      <c r="G51">
        <v>114.2</v>
      </c>
      <c r="H51">
        <v>119.1</v>
      </c>
      <c r="I51">
        <v>103.5</v>
      </c>
      <c r="J51">
        <v>129.19999999999999</v>
      </c>
      <c r="K51">
        <v>127</v>
      </c>
      <c r="L51">
        <v>112.6</v>
      </c>
      <c r="M51">
        <v>101.3</v>
      </c>
      <c r="N51">
        <v>117</v>
      </c>
      <c r="O51">
        <v>112.9</v>
      </c>
      <c r="P51">
        <v>121.7</v>
      </c>
      <c r="Q51">
        <v>120</v>
      </c>
      <c r="R51">
        <v>118.3</v>
      </c>
      <c r="S51">
        <v>116.8</v>
      </c>
      <c r="T51">
        <v>112.9</v>
      </c>
      <c r="U51">
        <v>116.2</v>
      </c>
      <c r="V51">
        <v>114.3</v>
      </c>
      <c r="W51">
        <v>111.1</v>
      </c>
      <c r="X51">
        <v>114.1</v>
      </c>
      <c r="Y51">
        <v>111.2</v>
      </c>
      <c r="Z51">
        <v>111.3</v>
      </c>
      <c r="AA51">
        <v>111.5</v>
      </c>
      <c r="AB51">
        <v>112.9</v>
      </c>
      <c r="AC51">
        <v>109.3</v>
      </c>
      <c r="AD51">
        <v>111.7</v>
      </c>
      <c r="AE51">
        <v>115.6</v>
      </c>
      <c r="AF51">
        <f t="shared" si="0"/>
        <v>117.10833333333335</v>
      </c>
      <c r="AG51">
        <v>118.3</v>
      </c>
      <c r="AH51">
        <f>AVERAGE(Table1[[#This Row],[Clothing]:[Footwear]])</f>
        <v>114.85</v>
      </c>
      <c r="AI51">
        <v>111.1</v>
      </c>
      <c r="AJ51">
        <v>114.1</v>
      </c>
      <c r="AK51">
        <v>111.3</v>
      </c>
      <c r="AL51">
        <v>111.5</v>
      </c>
      <c r="AM51" t="str">
        <f t="shared" si="1"/>
        <v>Pre-COVID</v>
      </c>
    </row>
    <row r="52" spans="1:39" x14ac:dyDescent="0.35">
      <c r="A52" t="s">
        <v>34</v>
      </c>
      <c r="B52">
        <v>2014</v>
      </c>
      <c r="C52" t="s">
        <v>38</v>
      </c>
      <c r="D52" s="4">
        <f>DATE(B52,MATCH(C52,{"January","February","March","April","May","June","July","August","September","October","November","December"},0),1)</f>
        <v>41760</v>
      </c>
      <c r="E52">
        <v>121.1</v>
      </c>
      <c r="F52">
        <v>121.6</v>
      </c>
      <c r="G52">
        <v>115.9</v>
      </c>
      <c r="H52">
        <v>118.4</v>
      </c>
      <c r="I52">
        <v>107.7</v>
      </c>
      <c r="J52">
        <v>127.7</v>
      </c>
      <c r="K52">
        <v>125</v>
      </c>
      <c r="L52">
        <v>111.9</v>
      </c>
      <c r="M52">
        <v>102.8</v>
      </c>
      <c r="N52">
        <v>113.4</v>
      </c>
      <c r="O52">
        <v>113.7</v>
      </c>
      <c r="P52">
        <v>120.4</v>
      </c>
      <c r="Q52">
        <v>118.9</v>
      </c>
      <c r="R52">
        <v>116.8</v>
      </c>
      <c r="S52">
        <v>118</v>
      </c>
      <c r="T52">
        <v>115.2</v>
      </c>
      <c r="U52">
        <v>117.6</v>
      </c>
      <c r="V52">
        <v>114.3</v>
      </c>
      <c r="W52">
        <v>112.5</v>
      </c>
      <c r="X52">
        <v>114.1</v>
      </c>
      <c r="Y52">
        <v>111.8</v>
      </c>
      <c r="Z52">
        <v>111.3</v>
      </c>
      <c r="AA52">
        <v>111.2</v>
      </c>
      <c r="AB52">
        <v>113</v>
      </c>
      <c r="AC52">
        <v>109.1</v>
      </c>
      <c r="AD52">
        <v>111.8</v>
      </c>
      <c r="AE52">
        <v>115.8</v>
      </c>
      <c r="AF52">
        <f t="shared" si="0"/>
        <v>116.63333333333337</v>
      </c>
      <c r="AG52">
        <v>116.8</v>
      </c>
      <c r="AH52">
        <f>AVERAGE(Table1[[#This Row],[Clothing]:[Footwear]])</f>
        <v>116.6</v>
      </c>
      <c r="AI52">
        <v>112.5</v>
      </c>
      <c r="AJ52">
        <v>114.1</v>
      </c>
      <c r="AK52">
        <v>111.3</v>
      </c>
      <c r="AL52">
        <v>111.2</v>
      </c>
      <c r="AM52" t="str">
        <f t="shared" si="1"/>
        <v>Pre-COVID</v>
      </c>
    </row>
    <row r="53" spans="1:39" x14ac:dyDescent="0.35">
      <c r="A53" t="s">
        <v>30</v>
      </c>
      <c r="B53">
        <v>2014</v>
      </c>
      <c r="C53" t="s">
        <v>39</v>
      </c>
      <c r="D53" s="4">
        <f>DATE(B53,MATCH(C53,{"January","February","March","April","May","June","July","August","September","October","November","December"},0),1)</f>
        <v>41791</v>
      </c>
      <c r="E53">
        <v>120.7</v>
      </c>
      <c r="F53">
        <v>121.6</v>
      </c>
      <c r="G53">
        <v>116.1</v>
      </c>
      <c r="H53">
        <v>119.3</v>
      </c>
      <c r="I53">
        <v>110.3</v>
      </c>
      <c r="J53">
        <v>125.8</v>
      </c>
      <c r="K53">
        <v>129.30000000000001</v>
      </c>
      <c r="L53">
        <v>112.2</v>
      </c>
      <c r="M53">
        <v>103.6</v>
      </c>
      <c r="N53">
        <v>112.3</v>
      </c>
      <c r="O53">
        <v>114.9</v>
      </c>
      <c r="P53">
        <v>120.1</v>
      </c>
      <c r="Q53">
        <v>119.5</v>
      </c>
      <c r="R53">
        <v>117.3</v>
      </c>
      <c r="S53">
        <v>119.7</v>
      </c>
      <c r="T53">
        <v>117.3</v>
      </c>
      <c r="U53">
        <v>119.3</v>
      </c>
      <c r="V53">
        <v>113.9</v>
      </c>
      <c r="W53">
        <v>114.4</v>
      </c>
      <c r="X53">
        <v>114.9</v>
      </c>
      <c r="Y53">
        <v>112.8</v>
      </c>
      <c r="Z53">
        <v>112.2</v>
      </c>
      <c r="AA53">
        <v>111.4</v>
      </c>
      <c r="AB53">
        <v>114.3</v>
      </c>
      <c r="AC53">
        <v>108</v>
      </c>
      <c r="AD53">
        <v>112.3</v>
      </c>
      <c r="AE53">
        <v>117</v>
      </c>
      <c r="AF53">
        <f t="shared" si="0"/>
        <v>117.18333333333332</v>
      </c>
      <c r="AG53">
        <v>117.3</v>
      </c>
      <c r="AH53">
        <f>AVERAGE(Table1[[#This Row],[Clothing]:[Footwear]])</f>
        <v>118.5</v>
      </c>
      <c r="AI53">
        <v>114.4</v>
      </c>
      <c r="AJ53">
        <v>114.9</v>
      </c>
      <c r="AK53">
        <v>112.2</v>
      </c>
      <c r="AL53">
        <v>111.4</v>
      </c>
      <c r="AM53" t="str">
        <f t="shared" si="1"/>
        <v>Pre-COVID</v>
      </c>
    </row>
    <row r="54" spans="1:39" x14ac:dyDescent="0.35">
      <c r="A54" t="s">
        <v>33</v>
      </c>
      <c r="B54">
        <v>2014</v>
      </c>
      <c r="C54" t="s">
        <v>39</v>
      </c>
      <c r="D54" s="4">
        <f>DATE(B54,MATCH(C54,{"January","February","March","April","May","June","July","August","September","October","November","December"},0),1)</f>
        <v>41791</v>
      </c>
      <c r="E54">
        <v>123.1</v>
      </c>
      <c r="F54">
        <v>125.9</v>
      </c>
      <c r="G54">
        <v>115.4</v>
      </c>
      <c r="H54">
        <v>120.4</v>
      </c>
      <c r="I54">
        <v>103.4</v>
      </c>
      <c r="J54">
        <v>131.19999999999999</v>
      </c>
      <c r="K54">
        <v>137.5</v>
      </c>
      <c r="L54">
        <v>112.8</v>
      </c>
      <c r="M54">
        <v>101.4</v>
      </c>
      <c r="N54">
        <v>118.3</v>
      </c>
      <c r="O54">
        <v>113.2</v>
      </c>
      <c r="P54">
        <v>122.4</v>
      </c>
      <c r="Q54">
        <v>122</v>
      </c>
      <c r="R54">
        <v>119</v>
      </c>
      <c r="S54">
        <v>117.4</v>
      </c>
      <c r="T54">
        <v>113.2</v>
      </c>
      <c r="U54">
        <v>116.7</v>
      </c>
      <c r="V54">
        <v>113.9</v>
      </c>
      <c r="W54">
        <v>111.2</v>
      </c>
      <c r="X54">
        <v>114.3</v>
      </c>
      <c r="Y54">
        <v>111.4</v>
      </c>
      <c r="Z54">
        <v>111.5</v>
      </c>
      <c r="AA54">
        <v>111.8</v>
      </c>
      <c r="AB54">
        <v>115.1</v>
      </c>
      <c r="AC54">
        <v>108.7</v>
      </c>
      <c r="AD54">
        <v>112.2</v>
      </c>
      <c r="AE54">
        <v>116.4</v>
      </c>
      <c r="AF54">
        <f t="shared" si="0"/>
        <v>118.75</v>
      </c>
      <c r="AG54">
        <v>119</v>
      </c>
      <c r="AH54">
        <f>AVERAGE(Table1[[#This Row],[Clothing]:[Footwear]])</f>
        <v>115.30000000000001</v>
      </c>
      <c r="AI54">
        <v>111.2</v>
      </c>
      <c r="AJ54">
        <v>114.3</v>
      </c>
      <c r="AK54">
        <v>111.5</v>
      </c>
      <c r="AL54">
        <v>111.8</v>
      </c>
      <c r="AM54" t="str">
        <f t="shared" si="1"/>
        <v>Pre-COVID</v>
      </c>
    </row>
    <row r="55" spans="1:39" x14ac:dyDescent="0.35">
      <c r="A55" t="s">
        <v>34</v>
      </c>
      <c r="B55">
        <v>2014</v>
      </c>
      <c r="C55" t="s">
        <v>39</v>
      </c>
      <c r="D55" s="4">
        <f>DATE(B55,MATCH(C55,{"January","February","March","April","May","June","July","August","September","October","November","December"},0),1)</f>
        <v>41791</v>
      </c>
      <c r="E55">
        <v>121.5</v>
      </c>
      <c r="F55">
        <v>123.1</v>
      </c>
      <c r="G55">
        <v>115.8</v>
      </c>
      <c r="H55">
        <v>119.7</v>
      </c>
      <c r="I55">
        <v>107.8</v>
      </c>
      <c r="J55">
        <v>128.30000000000001</v>
      </c>
      <c r="K55">
        <v>132.1</v>
      </c>
      <c r="L55">
        <v>112.4</v>
      </c>
      <c r="M55">
        <v>102.9</v>
      </c>
      <c r="N55">
        <v>114.3</v>
      </c>
      <c r="O55">
        <v>114.2</v>
      </c>
      <c r="P55">
        <v>121.2</v>
      </c>
      <c r="Q55">
        <v>120.4</v>
      </c>
      <c r="R55">
        <v>117.8</v>
      </c>
      <c r="S55">
        <v>118.8</v>
      </c>
      <c r="T55">
        <v>115.6</v>
      </c>
      <c r="U55">
        <v>118.3</v>
      </c>
      <c r="V55">
        <v>113.9</v>
      </c>
      <c r="W55">
        <v>113.2</v>
      </c>
      <c r="X55">
        <v>114.6</v>
      </c>
      <c r="Y55">
        <v>112.3</v>
      </c>
      <c r="Z55">
        <v>111.8</v>
      </c>
      <c r="AA55">
        <v>111.6</v>
      </c>
      <c r="AB55">
        <v>114.8</v>
      </c>
      <c r="AC55">
        <v>108.3</v>
      </c>
      <c r="AD55">
        <v>112.3</v>
      </c>
      <c r="AE55">
        <v>116.7</v>
      </c>
      <c r="AF55">
        <f t="shared" si="0"/>
        <v>117.77500000000002</v>
      </c>
      <c r="AG55">
        <v>117.8</v>
      </c>
      <c r="AH55">
        <f>AVERAGE(Table1[[#This Row],[Clothing]:[Footwear]])</f>
        <v>117.19999999999999</v>
      </c>
      <c r="AI55">
        <v>113.2</v>
      </c>
      <c r="AJ55">
        <v>114.6</v>
      </c>
      <c r="AK55">
        <v>111.8</v>
      </c>
      <c r="AL55">
        <v>111.6</v>
      </c>
      <c r="AM55" t="str">
        <f t="shared" si="1"/>
        <v>Pre-COVID</v>
      </c>
    </row>
    <row r="56" spans="1:39" x14ac:dyDescent="0.35">
      <c r="A56" t="s">
        <v>30</v>
      </c>
      <c r="B56">
        <v>2014</v>
      </c>
      <c r="C56" t="s">
        <v>40</v>
      </c>
      <c r="D56" s="4">
        <f>DATE(B56,MATCH(C56,{"January","February","March","April","May","June","July","August","September","October","November","December"},0),1)</f>
        <v>41821</v>
      </c>
      <c r="E56">
        <v>121.7</v>
      </c>
      <c r="F56">
        <v>122.5</v>
      </c>
      <c r="G56">
        <v>117.7</v>
      </c>
      <c r="H56">
        <v>120.6</v>
      </c>
      <c r="I56">
        <v>110.4</v>
      </c>
      <c r="J56">
        <v>129.1</v>
      </c>
      <c r="K56">
        <v>150.1</v>
      </c>
      <c r="L56">
        <v>113.2</v>
      </c>
      <c r="M56">
        <v>104.8</v>
      </c>
      <c r="N56">
        <v>113.3</v>
      </c>
      <c r="O56">
        <v>115.6</v>
      </c>
      <c r="P56">
        <v>120.9</v>
      </c>
      <c r="Q56">
        <v>123.3</v>
      </c>
      <c r="R56">
        <v>118</v>
      </c>
      <c r="S56">
        <v>120.7</v>
      </c>
      <c r="T56">
        <v>118.3</v>
      </c>
      <c r="U56">
        <v>120.3</v>
      </c>
      <c r="V56">
        <v>114.8</v>
      </c>
      <c r="W56">
        <v>115.3</v>
      </c>
      <c r="X56">
        <v>115.4</v>
      </c>
      <c r="Y56">
        <v>113.4</v>
      </c>
      <c r="Z56">
        <v>113.2</v>
      </c>
      <c r="AA56">
        <v>111.8</v>
      </c>
      <c r="AB56">
        <v>115.5</v>
      </c>
      <c r="AC56">
        <v>108.8</v>
      </c>
      <c r="AD56">
        <v>113.1</v>
      </c>
      <c r="AE56">
        <v>119.5</v>
      </c>
      <c r="AF56">
        <f t="shared" si="0"/>
        <v>119.99166666666667</v>
      </c>
      <c r="AG56">
        <v>118</v>
      </c>
      <c r="AH56">
        <f>AVERAGE(Table1[[#This Row],[Clothing]:[Footwear]])</f>
        <v>119.5</v>
      </c>
      <c r="AI56">
        <v>115.3</v>
      </c>
      <c r="AJ56">
        <v>115.4</v>
      </c>
      <c r="AK56">
        <v>113.2</v>
      </c>
      <c r="AL56">
        <v>111.8</v>
      </c>
      <c r="AM56" t="str">
        <f t="shared" si="1"/>
        <v>Pre-COVID</v>
      </c>
    </row>
    <row r="57" spans="1:39" x14ac:dyDescent="0.35">
      <c r="A57" t="s">
        <v>33</v>
      </c>
      <c r="B57">
        <v>2014</v>
      </c>
      <c r="C57" t="s">
        <v>40</v>
      </c>
      <c r="D57" s="4">
        <f>DATE(B57,MATCH(C57,{"January","February","March","April","May","June","July","August","September","October","November","December"},0),1)</f>
        <v>41821</v>
      </c>
      <c r="E57">
        <v>123.8</v>
      </c>
      <c r="F57">
        <v>126.4</v>
      </c>
      <c r="G57">
        <v>118</v>
      </c>
      <c r="H57">
        <v>121.6</v>
      </c>
      <c r="I57">
        <v>103.5</v>
      </c>
      <c r="J57">
        <v>133.69999999999999</v>
      </c>
      <c r="K57">
        <v>172.4</v>
      </c>
      <c r="L57">
        <v>113.1</v>
      </c>
      <c r="M57">
        <v>102.7</v>
      </c>
      <c r="N57">
        <v>120</v>
      </c>
      <c r="O57">
        <v>113.8</v>
      </c>
      <c r="P57">
        <v>123.4</v>
      </c>
      <c r="Q57">
        <v>127.1</v>
      </c>
      <c r="R57">
        <v>121</v>
      </c>
      <c r="S57">
        <v>118</v>
      </c>
      <c r="T57">
        <v>113.6</v>
      </c>
      <c r="U57">
        <v>117.4</v>
      </c>
      <c r="V57">
        <v>114.8</v>
      </c>
      <c r="W57">
        <v>111.6</v>
      </c>
      <c r="X57">
        <v>114.9</v>
      </c>
      <c r="Y57">
        <v>111.5</v>
      </c>
      <c r="Z57">
        <v>113</v>
      </c>
      <c r="AA57">
        <v>112.4</v>
      </c>
      <c r="AB57">
        <v>117.8</v>
      </c>
      <c r="AC57">
        <v>109.7</v>
      </c>
      <c r="AD57">
        <v>113.5</v>
      </c>
      <c r="AE57">
        <v>118.9</v>
      </c>
      <c r="AF57">
        <f t="shared" si="0"/>
        <v>122.7</v>
      </c>
      <c r="AG57">
        <v>121</v>
      </c>
      <c r="AH57">
        <f>AVERAGE(Table1[[#This Row],[Clothing]:[Footwear]])</f>
        <v>115.8</v>
      </c>
      <c r="AI57">
        <v>111.6</v>
      </c>
      <c r="AJ57">
        <v>114.9</v>
      </c>
      <c r="AK57">
        <v>113</v>
      </c>
      <c r="AL57">
        <v>112.4</v>
      </c>
      <c r="AM57" t="str">
        <f t="shared" si="1"/>
        <v>Pre-COVID</v>
      </c>
    </row>
    <row r="58" spans="1:39" x14ac:dyDescent="0.35">
      <c r="A58" t="s">
        <v>34</v>
      </c>
      <c r="B58">
        <v>2014</v>
      </c>
      <c r="C58" t="s">
        <v>40</v>
      </c>
      <c r="D58" s="4">
        <f>DATE(B58,MATCH(C58,{"January","February","March","April","May","June","July","August","September","October","November","December"},0),1)</f>
        <v>41821</v>
      </c>
      <c r="E58">
        <v>122.4</v>
      </c>
      <c r="F58">
        <v>123.9</v>
      </c>
      <c r="G58">
        <v>117.8</v>
      </c>
      <c r="H58">
        <v>121</v>
      </c>
      <c r="I58">
        <v>107.9</v>
      </c>
      <c r="J58">
        <v>131.19999999999999</v>
      </c>
      <c r="K58">
        <v>157.69999999999999</v>
      </c>
      <c r="L58">
        <v>113.2</v>
      </c>
      <c r="M58">
        <v>104.1</v>
      </c>
      <c r="N58">
        <v>115.5</v>
      </c>
      <c r="O58">
        <v>114.8</v>
      </c>
      <c r="P58">
        <v>122.1</v>
      </c>
      <c r="Q58">
        <v>124.7</v>
      </c>
      <c r="R58">
        <v>118.8</v>
      </c>
      <c r="S58">
        <v>119.6</v>
      </c>
      <c r="T58">
        <v>116.3</v>
      </c>
      <c r="U58">
        <v>119.1</v>
      </c>
      <c r="V58">
        <v>114.8</v>
      </c>
      <c r="W58">
        <v>113.9</v>
      </c>
      <c r="X58">
        <v>115.2</v>
      </c>
      <c r="Y58">
        <v>112.7</v>
      </c>
      <c r="Z58">
        <v>113.1</v>
      </c>
      <c r="AA58">
        <v>112.1</v>
      </c>
      <c r="AB58">
        <v>116.8</v>
      </c>
      <c r="AC58">
        <v>109.2</v>
      </c>
      <c r="AD58">
        <v>113.3</v>
      </c>
      <c r="AE58">
        <v>119.2</v>
      </c>
      <c r="AF58">
        <f t="shared" si="0"/>
        <v>120.96666666666665</v>
      </c>
      <c r="AG58">
        <v>118.8</v>
      </c>
      <c r="AH58">
        <f>AVERAGE(Table1[[#This Row],[Clothing]:[Footwear]])</f>
        <v>117.94999999999999</v>
      </c>
      <c r="AI58">
        <v>113.9</v>
      </c>
      <c r="AJ58">
        <v>115.2</v>
      </c>
      <c r="AK58">
        <v>113.1</v>
      </c>
      <c r="AL58">
        <v>112.1</v>
      </c>
      <c r="AM58" t="str">
        <f t="shared" si="1"/>
        <v>Pre-COVID</v>
      </c>
    </row>
    <row r="59" spans="1:39" x14ac:dyDescent="0.35">
      <c r="A59" t="s">
        <v>30</v>
      </c>
      <c r="B59">
        <v>2014</v>
      </c>
      <c r="C59" t="s">
        <v>41</v>
      </c>
      <c r="D59" s="4">
        <f>DATE(B59,MATCH(C59,{"January","February","March","April","May","June","July","August","September","October","November","December"},0),1)</f>
        <v>41852</v>
      </c>
      <c r="E59">
        <v>121.8</v>
      </c>
      <c r="F59">
        <v>122.8</v>
      </c>
      <c r="G59">
        <v>117.8</v>
      </c>
      <c r="H59">
        <v>121.9</v>
      </c>
      <c r="I59">
        <v>110.6</v>
      </c>
      <c r="J59">
        <v>129.69999999999999</v>
      </c>
      <c r="K59">
        <v>161.1</v>
      </c>
      <c r="L59">
        <v>114.1</v>
      </c>
      <c r="M59">
        <v>105.1</v>
      </c>
      <c r="N59">
        <v>114.6</v>
      </c>
      <c r="O59">
        <v>115.8</v>
      </c>
      <c r="P59">
        <v>121.7</v>
      </c>
      <c r="Q59">
        <v>125.3</v>
      </c>
      <c r="R59">
        <v>118.8</v>
      </c>
      <c r="S59">
        <v>120.9</v>
      </c>
      <c r="T59">
        <v>118.8</v>
      </c>
      <c r="U59">
        <v>120.7</v>
      </c>
      <c r="V59">
        <v>115.5</v>
      </c>
      <c r="W59">
        <v>115.4</v>
      </c>
      <c r="X59">
        <v>115.9</v>
      </c>
      <c r="Y59">
        <v>114</v>
      </c>
      <c r="Z59">
        <v>113.2</v>
      </c>
      <c r="AA59">
        <v>112.2</v>
      </c>
      <c r="AB59">
        <v>116.2</v>
      </c>
      <c r="AC59">
        <v>109.4</v>
      </c>
      <c r="AD59">
        <v>113.5</v>
      </c>
      <c r="AE59">
        <v>120.7</v>
      </c>
      <c r="AF59">
        <f t="shared" si="0"/>
        <v>121.41666666666664</v>
      </c>
      <c r="AG59">
        <v>118.8</v>
      </c>
      <c r="AH59">
        <f>AVERAGE(Table1[[#This Row],[Clothing]:[Footwear]])</f>
        <v>119.85</v>
      </c>
      <c r="AI59">
        <v>115.4</v>
      </c>
      <c r="AJ59">
        <v>115.9</v>
      </c>
      <c r="AK59">
        <v>113.2</v>
      </c>
      <c r="AL59">
        <v>112.2</v>
      </c>
      <c r="AM59" t="str">
        <f t="shared" si="1"/>
        <v>Pre-COVID</v>
      </c>
    </row>
    <row r="60" spans="1:39" x14ac:dyDescent="0.35">
      <c r="A60" t="s">
        <v>33</v>
      </c>
      <c r="B60">
        <v>2014</v>
      </c>
      <c r="C60" t="s">
        <v>41</v>
      </c>
      <c r="D60" s="4">
        <f>DATE(B60,MATCH(C60,{"January","February","March","April","May","June","July","August","September","October","November","December"},0),1)</f>
        <v>41852</v>
      </c>
      <c r="E60">
        <v>124.8</v>
      </c>
      <c r="F60">
        <v>127.3</v>
      </c>
      <c r="G60">
        <v>116.5</v>
      </c>
      <c r="H60">
        <v>122.2</v>
      </c>
      <c r="I60">
        <v>103.6</v>
      </c>
      <c r="J60">
        <v>132.69999999999999</v>
      </c>
      <c r="K60">
        <v>181.9</v>
      </c>
      <c r="L60">
        <v>115.2</v>
      </c>
      <c r="M60">
        <v>102.7</v>
      </c>
      <c r="N60">
        <v>122.1</v>
      </c>
      <c r="O60">
        <v>114.4</v>
      </c>
      <c r="P60">
        <v>124.7</v>
      </c>
      <c r="Q60">
        <v>128.9</v>
      </c>
      <c r="R60">
        <v>123</v>
      </c>
      <c r="S60">
        <v>118.6</v>
      </c>
      <c r="T60">
        <v>114.1</v>
      </c>
      <c r="U60">
        <v>117.9</v>
      </c>
      <c r="V60">
        <v>115.5</v>
      </c>
      <c r="W60">
        <v>111.8</v>
      </c>
      <c r="X60">
        <v>115.3</v>
      </c>
      <c r="Y60">
        <v>112.2</v>
      </c>
      <c r="Z60">
        <v>112.5</v>
      </c>
      <c r="AA60">
        <v>112.9</v>
      </c>
      <c r="AB60">
        <v>119.2</v>
      </c>
      <c r="AC60">
        <v>110.5</v>
      </c>
      <c r="AD60">
        <v>113.9</v>
      </c>
      <c r="AE60">
        <v>119.9</v>
      </c>
      <c r="AF60">
        <f t="shared" si="0"/>
        <v>124.00833333333333</v>
      </c>
      <c r="AG60">
        <v>123</v>
      </c>
      <c r="AH60">
        <f>AVERAGE(Table1[[#This Row],[Clothing]:[Footwear]])</f>
        <v>116.35</v>
      </c>
      <c r="AI60">
        <v>111.8</v>
      </c>
      <c r="AJ60">
        <v>115.3</v>
      </c>
      <c r="AK60">
        <v>112.5</v>
      </c>
      <c r="AL60">
        <v>112.9</v>
      </c>
      <c r="AM60" t="str">
        <f t="shared" si="1"/>
        <v>Pre-COVID</v>
      </c>
    </row>
    <row r="61" spans="1:39" x14ac:dyDescent="0.35">
      <c r="A61" t="s">
        <v>34</v>
      </c>
      <c r="B61">
        <v>2014</v>
      </c>
      <c r="C61" t="s">
        <v>41</v>
      </c>
      <c r="D61" s="4">
        <f>DATE(B61,MATCH(C61,{"January","February","March","April","May","June","July","August","September","October","November","December"},0),1)</f>
        <v>41852</v>
      </c>
      <c r="E61">
        <v>122.7</v>
      </c>
      <c r="F61">
        <v>124.4</v>
      </c>
      <c r="G61">
        <v>117.3</v>
      </c>
      <c r="H61">
        <v>122</v>
      </c>
      <c r="I61">
        <v>108</v>
      </c>
      <c r="J61">
        <v>131.1</v>
      </c>
      <c r="K61">
        <v>168.2</v>
      </c>
      <c r="L61">
        <v>114.5</v>
      </c>
      <c r="M61">
        <v>104.3</v>
      </c>
      <c r="N61">
        <v>117.1</v>
      </c>
      <c r="O61">
        <v>115.2</v>
      </c>
      <c r="P61">
        <v>123.1</v>
      </c>
      <c r="Q61">
        <v>126.6</v>
      </c>
      <c r="R61">
        <v>119.9</v>
      </c>
      <c r="S61">
        <v>120</v>
      </c>
      <c r="T61">
        <v>116.8</v>
      </c>
      <c r="U61">
        <v>119.6</v>
      </c>
      <c r="V61">
        <v>115.5</v>
      </c>
      <c r="W61">
        <v>114</v>
      </c>
      <c r="X61">
        <v>115.6</v>
      </c>
      <c r="Y61">
        <v>113.3</v>
      </c>
      <c r="Z61">
        <v>112.8</v>
      </c>
      <c r="AA61">
        <v>112.6</v>
      </c>
      <c r="AB61">
        <v>118</v>
      </c>
      <c r="AC61">
        <v>109.9</v>
      </c>
      <c r="AD61">
        <v>113.7</v>
      </c>
      <c r="AE61">
        <v>120.3</v>
      </c>
      <c r="AF61">
        <f t="shared" si="0"/>
        <v>122.32499999999999</v>
      </c>
      <c r="AG61">
        <v>119.9</v>
      </c>
      <c r="AH61">
        <f>AVERAGE(Table1[[#This Row],[Clothing]:[Footwear]])</f>
        <v>118.4</v>
      </c>
      <c r="AI61">
        <v>114</v>
      </c>
      <c r="AJ61">
        <v>115.6</v>
      </c>
      <c r="AK61">
        <v>112.8</v>
      </c>
      <c r="AL61">
        <v>112.6</v>
      </c>
      <c r="AM61" t="str">
        <f t="shared" si="1"/>
        <v>Pre-COVID</v>
      </c>
    </row>
    <row r="62" spans="1:39" x14ac:dyDescent="0.35">
      <c r="A62" t="s">
        <v>30</v>
      </c>
      <c r="B62">
        <v>2014</v>
      </c>
      <c r="C62" t="s">
        <v>42</v>
      </c>
      <c r="D62" s="4">
        <f>DATE(B62,MATCH(C62,{"January","February","March","April","May","June","July","August","September","October","November","December"},0),1)</f>
        <v>41883</v>
      </c>
      <c r="E62">
        <v>122.3</v>
      </c>
      <c r="F62">
        <v>122.4</v>
      </c>
      <c r="G62">
        <v>117.8</v>
      </c>
      <c r="H62">
        <v>122.7</v>
      </c>
      <c r="I62">
        <v>110.4</v>
      </c>
      <c r="J62">
        <v>129.80000000000001</v>
      </c>
      <c r="K62">
        <v>158.80000000000001</v>
      </c>
      <c r="L62">
        <v>115</v>
      </c>
      <c r="M62">
        <v>104.7</v>
      </c>
      <c r="N62">
        <v>114.9</v>
      </c>
      <c r="O62">
        <v>116.5</v>
      </c>
      <c r="P62">
        <v>122.6</v>
      </c>
      <c r="Q62">
        <v>125.3</v>
      </c>
      <c r="R62">
        <v>119.5</v>
      </c>
      <c r="S62">
        <v>121.7</v>
      </c>
      <c r="T62">
        <v>119.2</v>
      </c>
      <c r="U62">
        <v>121.3</v>
      </c>
      <c r="V62">
        <v>116.1</v>
      </c>
      <c r="W62">
        <v>115.8</v>
      </c>
      <c r="X62">
        <v>116.7</v>
      </c>
      <c r="Y62">
        <v>114.5</v>
      </c>
      <c r="Z62">
        <v>112.8</v>
      </c>
      <c r="AA62">
        <v>112.6</v>
      </c>
      <c r="AB62">
        <v>116.6</v>
      </c>
      <c r="AC62">
        <v>109.1</v>
      </c>
      <c r="AD62">
        <v>113.7</v>
      </c>
      <c r="AE62">
        <v>120.9</v>
      </c>
      <c r="AF62">
        <f t="shared" si="0"/>
        <v>121.49166666666667</v>
      </c>
      <c r="AG62">
        <v>119.5</v>
      </c>
      <c r="AH62">
        <f>AVERAGE(Table1[[#This Row],[Clothing]:[Footwear]])</f>
        <v>120.45</v>
      </c>
      <c r="AI62">
        <v>115.8</v>
      </c>
      <c r="AJ62">
        <v>116.7</v>
      </c>
      <c r="AK62">
        <v>112.8</v>
      </c>
      <c r="AL62">
        <v>112.6</v>
      </c>
      <c r="AM62" t="str">
        <f t="shared" si="1"/>
        <v>Pre-COVID</v>
      </c>
    </row>
    <row r="63" spans="1:39" x14ac:dyDescent="0.35">
      <c r="A63" t="s">
        <v>33</v>
      </c>
      <c r="B63">
        <v>2014</v>
      </c>
      <c r="C63" t="s">
        <v>42</v>
      </c>
      <c r="D63" s="4">
        <f>DATE(B63,MATCH(C63,{"January","February","March","April","May","June","July","August","September","October","November","December"},0),1)</f>
        <v>41883</v>
      </c>
      <c r="E63">
        <v>124.2</v>
      </c>
      <c r="F63">
        <v>125.4</v>
      </c>
      <c r="G63">
        <v>116.4</v>
      </c>
      <c r="H63">
        <v>122.7</v>
      </c>
      <c r="I63">
        <v>103.5</v>
      </c>
      <c r="J63">
        <v>124.5</v>
      </c>
      <c r="K63">
        <v>168.6</v>
      </c>
      <c r="L63">
        <v>116.9</v>
      </c>
      <c r="M63">
        <v>101.9</v>
      </c>
      <c r="N63">
        <v>122.9</v>
      </c>
      <c r="O63">
        <v>114.8</v>
      </c>
      <c r="P63">
        <v>125.2</v>
      </c>
      <c r="Q63">
        <v>126.7</v>
      </c>
      <c r="R63">
        <v>124.3</v>
      </c>
      <c r="S63">
        <v>119.2</v>
      </c>
      <c r="T63">
        <v>114.5</v>
      </c>
      <c r="U63">
        <v>118.4</v>
      </c>
      <c r="V63">
        <v>116.1</v>
      </c>
      <c r="W63">
        <v>111.8</v>
      </c>
      <c r="X63">
        <v>115.5</v>
      </c>
      <c r="Y63">
        <v>112.3</v>
      </c>
      <c r="Z63">
        <v>111.2</v>
      </c>
      <c r="AA63">
        <v>113.4</v>
      </c>
      <c r="AB63">
        <v>120</v>
      </c>
      <c r="AC63">
        <v>110</v>
      </c>
      <c r="AD63">
        <v>113.6</v>
      </c>
      <c r="AE63">
        <v>119.2</v>
      </c>
      <c r="AF63">
        <f t="shared" si="0"/>
        <v>122.25000000000001</v>
      </c>
      <c r="AG63">
        <v>124.3</v>
      </c>
      <c r="AH63">
        <f>AVERAGE(Table1[[#This Row],[Clothing]:[Footwear]])</f>
        <v>116.85</v>
      </c>
      <c r="AI63">
        <v>111.8</v>
      </c>
      <c r="AJ63">
        <v>115.5</v>
      </c>
      <c r="AK63">
        <v>111.2</v>
      </c>
      <c r="AL63">
        <v>113.4</v>
      </c>
      <c r="AM63" t="str">
        <f t="shared" si="1"/>
        <v>Pre-COVID</v>
      </c>
    </row>
    <row r="64" spans="1:39" x14ac:dyDescent="0.35">
      <c r="A64" t="s">
        <v>34</v>
      </c>
      <c r="B64">
        <v>2014</v>
      </c>
      <c r="C64" t="s">
        <v>42</v>
      </c>
      <c r="D64" s="4">
        <f>DATE(B64,MATCH(C64,{"January","February","March","April","May","June","July","August","September","October","November","December"},0),1)</f>
        <v>41883</v>
      </c>
      <c r="E64">
        <v>122.9</v>
      </c>
      <c r="F64">
        <v>123.5</v>
      </c>
      <c r="G64">
        <v>117.3</v>
      </c>
      <c r="H64">
        <v>122.7</v>
      </c>
      <c r="I64">
        <v>107.9</v>
      </c>
      <c r="J64">
        <v>127.3</v>
      </c>
      <c r="K64">
        <v>162.1</v>
      </c>
      <c r="L64">
        <v>115.6</v>
      </c>
      <c r="M64">
        <v>103.8</v>
      </c>
      <c r="N64">
        <v>117.6</v>
      </c>
      <c r="O64">
        <v>115.8</v>
      </c>
      <c r="P64">
        <v>123.8</v>
      </c>
      <c r="Q64">
        <v>125.8</v>
      </c>
      <c r="R64">
        <v>120.8</v>
      </c>
      <c r="S64">
        <v>120.7</v>
      </c>
      <c r="T64">
        <v>117.2</v>
      </c>
      <c r="U64">
        <v>120.1</v>
      </c>
      <c r="V64">
        <v>116.1</v>
      </c>
      <c r="W64">
        <v>114.3</v>
      </c>
      <c r="X64">
        <v>116.1</v>
      </c>
      <c r="Y64">
        <v>113.7</v>
      </c>
      <c r="Z64">
        <v>112</v>
      </c>
      <c r="AA64">
        <v>113.1</v>
      </c>
      <c r="AB64">
        <v>118.6</v>
      </c>
      <c r="AC64">
        <v>109.5</v>
      </c>
      <c r="AD64">
        <v>113.7</v>
      </c>
      <c r="AE64">
        <v>120.1</v>
      </c>
      <c r="AF64">
        <f t="shared" si="0"/>
        <v>121.69166666666665</v>
      </c>
      <c r="AG64">
        <v>120.8</v>
      </c>
      <c r="AH64">
        <f>AVERAGE(Table1[[#This Row],[Clothing]:[Footwear]])</f>
        <v>118.95</v>
      </c>
      <c r="AI64">
        <v>114.3</v>
      </c>
      <c r="AJ64">
        <v>116.1</v>
      </c>
      <c r="AK64">
        <v>112</v>
      </c>
      <c r="AL64">
        <v>113.1</v>
      </c>
      <c r="AM64" t="str">
        <f t="shared" si="1"/>
        <v>Pre-COVID</v>
      </c>
    </row>
    <row r="65" spans="1:39" x14ac:dyDescent="0.35">
      <c r="A65" t="s">
        <v>30</v>
      </c>
      <c r="B65">
        <v>2014</v>
      </c>
      <c r="C65" t="s">
        <v>43</v>
      </c>
      <c r="D65" s="4">
        <f>DATE(B65,MATCH(C65,{"January","February","March","April","May","June","July","August","September","October","November","December"},0),1)</f>
        <v>41913</v>
      </c>
      <c r="E65">
        <v>122.6</v>
      </c>
      <c r="F65">
        <v>122.5</v>
      </c>
      <c r="G65">
        <v>118.3</v>
      </c>
      <c r="H65">
        <v>123.2</v>
      </c>
      <c r="I65">
        <v>110.5</v>
      </c>
      <c r="J65">
        <v>128.9</v>
      </c>
      <c r="K65">
        <v>155.30000000000001</v>
      </c>
      <c r="L65">
        <v>115.5</v>
      </c>
      <c r="M65">
        <v>104</v>
      </c>
      <c r="N65">
        <v>115.3</v>
      </c>
      <c r="O65">
        <v>116.8</v>
      </c>
      <c r="P65">
        <v>123.2</v>
      </c>
      <c r="Q65">
        <v>125.1</v>
      </c>
      <c r="R65">
        <v>120</v>
      </c>
      <c r="S65">
        <v>122.7</v>
      </c>
      <c r="T65">
        <v>120.3</v>
      </c>
      <c r="U65">
        <v>122.3</v>
      </c>
      <c r="V65">
        <v>116.7</v>
      </c>
      <c r="W65">
        <v>116.4</v>
      </c>
      <c r="X65">
        <v>117.5</v>
      </c>
      <c r="Y65">
        <v>115.3</v>
      </c>
      <c r="Z65">
        <v>112.6</v>
      </c>
      <c r="AA65">
        <v>113</v>
      </c>
      <c r="AB65">
        <v>116.9</v>
      </c>
      <c r="AC65">
        <v>109.3</v>
      </c>
      <c r="AD65">
        <v>114</v>
      </c>
      <c r="AE65">
        <v>121</v>
      </c>
      <c r="AF65">
        <f t="shared" si="0"/>
        <v>121.34166666666665</v>
      </c>
      <c r="AG65">
        <v>120</v>
      </c>
      <c r="AH65">
        <f>AVERAGE(Table1[[#This Row],[Clothing]:[Footwear]])</f>
        <v>121.5</v>
      </c>
      <c r="AI65">
        <v>116.4</v>
      </c>
      <c r="AJ65">
        <v>117.5</v>
      </c>
      <c r="AK65">
        <v>112.6</v>
      </c>
      <c r="AL65">
        <v>113</v>
      </c>
      <c r="AM65" t="str">
        <f t="shared" si="1"/>
        <v>Pre-COVID</v>
      </c>
    </row>
    <row r="66" spans="1:39" x14ac:dyDescent="0.35">
      <c r="A66" t="s">
        <v>33</v>
      </c>
      <c r="B66">
        <v>2014</v>
      </c>
      <c r="C66" t="s">
        <v>43</v>
      </c>
      <c r="D66" s="4">
        <f>DATE(B66,MATCH(C66,{"January","February","March","April","May","June","July","August","September","October","November","December"},0),1)</f>
        <v>41913</v>
      </c>
      <c r="E66">
        <v>124.6</v>
      </c>
      <c r="F66">
        <v>126.1</v>
      </c>
      <c r="G66">
        <v>117.8</v>
      </c>
      <c r="H66">
        <v>123.1</v>
      </c>
      <c r="I66">
        <v>103.5</v>
      </c>
      <c r="J66">
        <v>123.5</v>
      </c>
      <c r="K66">
        <v>159.6</v>
      </c>
      <c r="L66">
        <v>117.4</v>
      </c>
      <c r="M66">
        <v>101.2</v>
      </c>
      <c r="N66">
        <v>123.8</v>
      </c>
      <c r="O66">
        <v>115.2</v>
      </c>
      <c r="P66">
        <v>125.9</v>
      </c>
      <c r="Q66">
        <v>125.8</v>
      </c>
      <c r="R66">
        <v>124.3</v>
      </c>
      <c r="S66">
        <v>119.6</v>
      </c>
      <c r="T66">
        <v>114.9</v>
      </c>
      <c r="U66">
        <v>118.9</v>
      </c>
      <c r="V66">
        <v>116.7</v>
      </c>
      <c r="W66">
        <v>112</v>
      </c>
      <c r="X66">
        <v>115.8</v>
      </c>
      <c r="Y66">
        <v>112.6</v>
      </c>
      <c r="Z66">
        <v>111</v>
      </c>
      <c r="AA66">
        <v>113.6</v>
      </c>
      <c r="AB66">
        <v>120.2</v>
      </c>
      <c r="AC66">
        <v>110.1</v>
      </c>
      <c r="AD66">
        <v>113.7</v>
      </c>
      <c r="AE66">
        <v>119.1</v>
      </c>
      <c r="AF66">
        <f t="shared" ref="AF66:AF129" si="2">AVERAGE(E66:P66)</f>
        <v>121.80833333333334</v>
      </c>
      <c r="AG66">
        <v>124.3</v>
      </c>
      <c r="AH66">
        <f>AVERAGE(Table1[[#This Row],[Clothing]:[Footwear]])</f>
        <v>117.25</v>
      </c>
      <c r="AI66">
        <v>112</v>
      </c>
      <c r="AJ66">
        <v>115.8</v>
      </c>
      <c r="AK66">
        <v>111</v>
      </c>
      <c r="AL66">
        <v>113.6</v>
      </c>
      <c r="AM66" t="str">
        <f t="shared" ref="AM66:AM129" si="3">IF(D66&lt;DATE(2020,3,1),"Pre-COVID",IF(D66=DATE(2020,3,1),"COVID Onset",IF(D66&lt;=DATE(2020,5,31),"Lockdown","Post-COVID")))</f>
        <v>Pre-COVID</v>
      </c>
    </row>
    <row r="67" spans="1:39" x14ac:dyDescent="0.35">
      <c r="A67" t="s">
        <v>34</v>
      </c>
      <c r="B67">
        <v>2014</v>
      </c>
      <c r="C67" t="s">
        <v>43</v>
      </c>
      <c r="D67" s="4">
        <f>DATE(B67,MATCH(C67,{"January","February","March","April","May","June","July","August","September","October","November","December"},0),1)</f>
        <v>41913</v>
      </c>
      <c r="E67">
        <v>123.2</v>
      </c>
      <c r="F67">
        <v>123.8</v>
      </c>
      <c r="G67">
        <v>118.1</v>
      </c>
      <c r="H67">
        <v>123.2</v>
      </c>
      <c r="I67">
        <v>107.9</v>
      </c>
      <c r="J67">
        <v>126.4</v>
      </c>
      <c r="K67">
        <v>156.80000000000001</v>
      </c>
      <c r="L67">
        <v>116.1</v>
      </c>
      <c r="M67">
        <v>103.1</v>
      </c>
      <c r="N67">
        <v>118.1</v>
      </c>
      <c r="O67">
        <v>116.1</v>
      </c>
      <c r="P67">
        <v>124.5</v>
      </c>
      <c r="Q67">
        <v>125.4</v>
      </c>
      <c r="R67">
        <v>121.1</v>
      </c>
      <c r="S67">
        <v>121.5</v>
      </c>
      <c r="T67">
        <v>118.1</v>
      </c>
      <c r="U67">
        <v>121</v>
      </c>
      <c r="V67">
        <v>116.7</v>
      </c>
      <c r="W67">
        <v>114.7</v>
      </c>
      <c r="X67">
        <v>116.7</v>
      </c>
      <c r="Y67">
        <v>114.3</v>
      </c>
      <c r="Z67">
        <v>111.8</v>
      </c>
      <c r="AA67">
        <v>113.3</v>
      </c>
      <c r="AB67">
        <v>118.8</v>
      </c>
      <c r="AC67">
        <v>109.6</v>
      </c>
      <c r="AD67">
        <v>113.9</v>
      </c>
      <c r="AE67">
        <v>120.1</v>
      </c>
      <c r="AF67">
        <f t="shared" si="2"/>
        <v>121.44166666666666</v>
      </c>
      <c r="AG67">
        <v>121.1</v>
      </c>
      <c r="AH67">
        <f>AVERAGE(Table1[[#This Row],[Clothing]:[Footwear]])</f>
        <v>119.8</v>
      </c>
      <c r="AI67">
        <v>114.7</v>
      </c>
      <c r="AJ67">
        <v>116.7</v>
      </c>
      <c r="AK67">
        <v>111.8</v>
      </c>
      <c r="AL67">
        <v>113.3</v>
      </c>
      <c r="AM67" t="str">
        <f t="shared" si="3"/>
        <v>Pre-COVID</v>
      </c>
    </row>
    <row r="68" spans="1:39" x14ac:dyDescent="0.35">
      <c r="A68" t="s">
        <v>30</v>
      </c>
      <c r="B68">
        <v>2014</v>
      </c>
      <c r="C68" t="s">
        <v>45</v>
      </c>
      <c r="D68" s="4">
        <f>DATE(B68,MATCH(C68,{"January","February","March","April","May","June","July","August","September","October","November","December"},0),1)</f>
        <v>41944</v>
      </c>
      <c r="E68">
        <v>122.7</v>
      </c>
      <c r="F68">
        <v>122.6</v>
      </c>
      <c r="G68">
        <v>119.9</v>
      </c>
      <c r="H68">
        <v>124</v>
      </c>
      <c r="I68">
        <v>110.5</v>
      </c>
      <c r="J68">
        <v>128.80000000000001</v>
      </c>
      <c r="K68">
        <v>152</v>
      </c>
      <c r="L68">
        <v>116.2</v>
      </c>
      <c r="M68">
        <v>103.3</v>
      </c>
      <c r="N68">
        <v>115.8</v>
      </c>
      <c r="O68">
        <v>116.8</v>
      </c>
      <c r="P68">
        <v>124.5</v>
      </c>
      <c r="Q68">
        <v>124.9</v>
      </c>
      <c r="R68">
        <v>120.8</v>
      </c>
      <c r="S68">
        <v>123.3</v>
      </c>
      <c r="T68">
        <v>120.5</v>
      </c>
      <c r="U68">
        <v>122.9</v>
      </c>
      <c r="V68">
        <v>117.1</v>
      </c>
      <c r="W68">
        <v>117.3</v>
      </c>
      <c r="X68">
        <v>118.1</v>
      </c>
      <c r="Y68">
        <v>115.9</v>
      </c>
      <c r="Z68">
        <v>112</v>
      </c>
      <c r="AA68">
        <v>113.3</v>
      </c>
      <c r="AB68">
        <v>117.2</v>
      </c>
      <c r="AC68">
        <v>108.8</v>
      </c>
      <c r="AD68">
        <v>114.1</v>
      </c>
      <c r="AE68">
        <v>121.1</v>
      </c>
      <c r="AF68">
        <f t="shared" si="2"/>
        <v>121.425</v>
      </c>
      <c r="AG68">
        <v>120.8</v>
      </c>
      <c r="AH68">
        <f>AVERAGE(Table1[[#This Row],[Clothing]:[Footwear]])</f>
        <v>121.9</v>
      </c>
      <c r="AI68">
        <v>117.3</v>
      </c>
      <c r="AJ68">
        <v>118.1</v>
      </c>
      <c r="AK68">
        <v>112</v>
      </c>
      <c r="AL68">
        <v>113.3</v>
      </c>
      <c r="AM68" t="str">
        <f t="shared" si="3"/>
        <v>Pre-COVID</v>
      </c>
    </row>
    <row r="69" spans="1:39" x14ac:dyDescent="0.35">
      <c r="A69" t="s">
        <v>33</v>
      </c>
      <c r="B69">
        <v>2014</v>
      </c>
      <c r="C69" t="s">
        <v>45</v>
      </c>
      <c r="D69" s="4">
        <f>DATE(B69,MATCH(C69,{"January","February","March","April","May","June","July","August","September","October","November","December"},0),1)</f>
        <v>41944</v>
      </c>
      <c r="E69">
        <v>124.5</v>
      </c>
      <c r="F69">
        <v>125.6</v>
      </c>
      <c r="G69">
        <v>122.7</v>
      </c>
      <c r="H69">
        <v>124.6</v>
      </c>
      <c r="I69">
        <v>103.2</v>
      </c>
      <c r="J69">
        <v>122.2</v>
      </c>
      <c r="K69">
        <v>153.19999999999999</v>
      </c>
      <c r="L69">
        <v>119.3</v>
      </c>
      <c r="M69">
        <v>99.8</v>
      </c>
      <c r="N69">
        <v>124.6</v>
      </c>
      <c r="O69">
        <v>115.8</v>
      </c>
      <c r="P69">
        <v>126.9</v>
      </c>
      <c r="Q69">
        <v>125.4</v>
      </c>
      <c r="R69">
        <v>125.8</v>
      </c>
      <c r="S69">
        <v>120.3</v>
      </c>
      <c r="T69">
        <v>115.4</v>
      </c>
      <c r="U69">
        <v>119.5</v>
      </c>
      <c r="V69">
        <v>117.1</v>
      </c>
      <c r="W69">
        <v>112.6</v>
      </c>
      <c r="X69">
        <v>116.4</v>
      </c>
      <c r="Y69">
        <v>113</v>
      </c>
      <c r="Z69">
        <v>109.7</v>
      </c>
      <c r="AA69">
        <v>114</v>
      </c>
      <c r="AB69">
        <v>120.3</v>
      </c>
      <c r="AC69">
        <v>109.6</v>
      </c>
      <c r="AD69">
        <v>113.4</v>
      </c>
      <c r="AE69">
        <v>119</v>
      </c>
      <c r="AF69">
        <f t="shared" si="2"/>
        <v>121.86666666666666</v>
      </c>
      <c r="AG69">
        <v>125.8</v>
      </c>
      <c r="AH69">
        <f>AVERAGE(Table1[[#This Row],[Clothing]:[Footwear]])</f>
        <v>117.85</v>
      </c>
      <c r="AI69">
        <v>112.6</v>
      </c>
      <c r="AJ69">
        <v>116.4</v>
      </c>
      <c r="AK69">
        <v>109.7</v>
      </c>
      <c r="AL69">
        <v>114</v>
      </c>
      <c r="AM69" t="str">
        <f t="shared" si="3"/>
        <v>Pre-COVID</v>
      </c>
    </row>
    <row r="70" spans="1:39" x14ac:dyDescent="0.35">
      <c r="A70" t="s">
        <v>34</v>
      </c>
      <c r="B70">
        <v>2014</v>
      </c>
      <c r="C70" t="s">
        <v>45</v>
      </c>
      <c r="D70" s="4">
        <f>DATE(B70,MATCH(C70,{"January","February","March","April","May","June","July","August","September","October","November","December"},0),1)</f>
        <v>41944</v>
      </c>
      <c r="E70">
        <v>123.3</v>
      </c>
      <c r="F70">
        <v>123.7</v>
      </c>
      <c r="G70">
        <v>121</v>
      </c>
      <c r="H70">
        <v>124.2</v>
      </c>
      <c r="I70">
        <v>107.8</v>
      </c>
      <c r="J70">
        <v>125.7</v>
      </c>
      <c r="K70">
        <v>152.4</v>
      </c>
      <c r="L70">
        <v>117.2</v>
      </c>
      <c r="M70">
        <v>102.1</v>
      </c>
      <c r="N70">
        <v>118.7</v>
      </c>
      <c r="O70">
        <v>116.4</v>
      </c>
      <c r="P70">
        <v>125.6</v>
      </c>
      <c r="Q70">
        <v>125.1</v>
      </c>
      <c r="R70">
        <v>122.1</v>
      </c>
      <c r="S70">
        <v>122.1</v>
      </c>
      <c r="T70">
        <v>118.4</v>
      </c>
      <c r="U70">
        <v>121.6</v>
      </c>
      <c r="V70">
        <v>117.1</v>
      </c>
      <c r="W70">
        <v>115.5</v>
      </c>
      <c r="X70">
        <v>117.3</v>
      </c>
      <c r="Y70">
        <v>114.8</v>
      </c>
      <c r="Z70">
        <v>110.8</v>
      </c>
      <c r="AA70">
        <v>113.7</v>
      </c>
      <c r="AB70">
        <v>119</v>
      </c>
      <c r="AC70">
        <v>109.1</v>
      </c>
      <c r="AD70">
        <v>113.8</v>
      </c>
      <c r="AE70">
        <v>120.1</v>
      </c>
      <c r="AF70">
        <f t="shared" si="2"/>
        <v>121.50833333333334</v>
      </c>
      <c r="AG70">
        <v>122.1</v>
      </c>
      <c r="AH70">
        <f>AVERAGE(Table1[[#This Row],[Clothing]:[Footwear]])</f>
        <v>120.25</v>
      </c>
      <c r="AI70">
        <v>115.5</v>
      </c>
      <c r="AJ70">
        <v>117.3</v>
      </c>
      <c r="AK70">
        <v>110.8</v>
      </c>
      <c r="AL70">
        <v>113.7</v>
      </c>
      <c r="AM70" t="str">
        <f t="shared" si="3"/>
        <v>Pre-COVID</v>
      </c>
    </row>
    <row r="71" spans="1:39" x14ac:dyDescent="0.35">
      <c r="A71" t="s">
        <v>30</v>
      </c>
      <c r="B71">
        <v>2014</v>
      </c>
      <c r="C71" t="s">
        <v>46</v>
      </c>
      <c r="D71" s="4">
        <f>DATE(B71,MATCH(C71,{"January","February","March","April","May","June","July","August","September","October","November","December"},0),1)</f>
        <v>41974</v>
      </c>
      <c r="E71">
        <v>122.4</v>
      </c>
      <c r="F71">
        <v>122.4</v>
      </c>
      <c r="G71">
        <v>121.8</v>
      </c>
      <c r="H71">
        <v>124.2</v>
      </c>
      <c r="I71">
        <v>110.2</v>
      </c>
      <c r="J71">
        <v>128.6</v>
      </c>
      <c r="K71">
        <v>140.30000000000001</v>
      </c>
      <c r="L71">
        <v>116.3</v>
      </c>
      <c r="M71">
        <v>102</v>
      </c>
      <c r="N71">
        <v>116</v>
      </c>
      <c r="O71">
        <v>117.3</v>
      </c>
      <c r="P71">
        <v>124.8</v>
      </c>
      <c r="Q71">
        <v>123.3</v>
      </c>
      <c r="R71">
        <v>121.7</v>
      </c>
      <c r="S71">
        <v>123.8</v>
      </c>
      <c r="T71">
        <v>120.6</v>
      </c>
      <c r="U71">
        <v>123.3</v>
      </c>
      <c r="V71">
        <v>116.5</v>
      </c>
      <c r="W71">
        <v>117.4</v>
      </c>
      <c r="X71">
        <v>118.2</v>
      </c>
      <c r="Y71">
        <v>116.2</v>
      </c>
      <c r="Z71">
        <v>111.5</v>
      </c>
      <c r="AA71">
        <v>113.3</v>
      </c>
      <c r="AB71">
        <v>117.7</v>
      </c>
      <c r="AC71">
        <v>109.4</v>
      </c>
      <c r="AD71">
        <v>114.2</v>
      </c>
      <c r="AE71">
        <v>120.3</v>
      </c>
      <c r="AF71">
        <f t="shared" si="2"/>
        <v>120.52499999999999</v>
      </c>
      <c r="AG71">
        <v>121.7</v>
      </c>
      <c r="AH71">
        <f>AVERAGE(Table1[[#This Row],[Clothing]:[Footwear]])</f>
        <v>122.19999999999999</v>
      </c>
      <c r="AI71">
        <v>117.4</v>
      </c>
      <c r="AJ71">
        <v>118.2</v>
      </c>
      <c r="AK71">
        <v>111.5</v>
      </c>
      <c r="AL71">
        <v>113.3</v>
      </c>
      <c r="AM71" t="str">
        <f t="shared" si="3"/>
        <v>Pre-COVID</v>
      </c>
    </row>
    <row r="72" spans="1:39" x14ac:dyDescent="0.35">
      <c r="A72" t="s">
        <v>33</v>
      </c>
      <c r="B72">
        <v>2014</v>
      </c>
      <c r="C72" t="s">
        <v>46</v>
      </c>
      <c r="D72" s="4">
        <f>DATE(B72,MATCH(C72,{"January","February","March","April","May","June","July","August","September","October","November","December"},0),1)</f>
        <v>41974</v>
      </c>
      <c r="E72">
        <v>124</v>
      </c>
      <c r="F72">
        <v>124.7</v>
      </c>
      <c r="G72">
        <v>126.3</v>
      </c>
      <c r="H72">
        <v>124.9</v>
      </c>
      <c r="I72">
        <v>103</v>
      </c>
      <c r="J72">
        <v>122.3</v>
      </c>
      <c r="K72">
        <v>141</v>
      </c>
      <c r="L72">
        <v>120.1</v>
      </c>
      <c r="M72">
        <v>97.8</v>
      </c>
      <c r="N72">
        <v>125.4</v>
      </c>
      <c r="O72">
        <v>116.1</v>
      </c>
      <c r="P72">
        <v>127.6</v>
      </c>
      <c r="Q72">
        <v>124</v>
      </c>
      <c r="R72">
        <v>126.4</v>
      </c>
      <c r="S72">
        <v>120.7</v>
      </c>
      <c r="T72">
        <v>115.8</v>
      </c>
      <c r="U72">
        <v>120</v>
      </c>
      <c r="V72">
        <v>116.5</v>
      </c>
      <c r="W72">
        <v>113</v>
      </c>
      <c r="X72">
        <v>116.8</v>
      </c>
      <c r="Y72">
        <v>113.2</v>
      </c>
      <c r="Z72">
        <v>108.8</v>
      </c>
      <c r="AA72">
        <v>114.3</v>
      </c>
      <c r="AB72">
        <v>120.7</v>
      </c>
      <c r="AC72">
        <v>110.4</v>
      </c>
      <c r="AD72">
        <v>113.4</v>
      </c>
      <c r="AE72">
        <v>118.4</v>
      </c>
      <c r="AF72">
        <f t="shared" si="2"/>
        <v>121.09999999999998</v>
      </c>
      <c r="AG72">
        <v>126.4</v>
      </c>
      <c r="AH72">
        <f>AVERAGE(Table1[[#This Row],[Clothing]:[Footwear]])</f>
        <v>118.25</v>
      </c>
      <c r="AI72">
        <v>113</v>
      </c>
      <c r="AJ72">
        <v>116.8</v>
      </c>
      <c r="AK72">
        <v>108.8</v>
      </c>
      <c r="AL72">
        <v>114.3</v>
      </c>
      <c r="AM72" t="str">
        <f t="shared" si="3"/>
        <v>Pre-COVID</v>
      </c>
    </row>
    <row r="73" spans="1:39" x14ac:dyDescent="0.35">
      <c r="A73" t="s">
        <v>34</v>
      </c>
      <c r="B73">
        <v>2014</v>
      </c>
      <c r="C73" t="s">
        <v>46</v>
      </c>
      <c r="D73" s="4">
        <f>DATE(B73,MATCH(C73,{"January","February","March","April","May","June","July","August","September","October","November","December"},0),1)</f>
        <v>41974</v>
      </c>
      <c r="E73">
        <v>122.9</v>
      </c>
      <c r="F73">
        <v>123.2</v>
      </c>
      <c r="G73">
        <v>123.5</v>
      </c>
      <c r="H73">
        <v>124.5</v>
      </c>
      <c r="I73">
        <v>107.6</v>
      </c>
      <c r="J73">
        <v>125.7</v>
      </c>
      <c r="K73">
        <v>140.5</v>
      </c>
      <c r="L73">
        <v>117.6</v>
      </c>
      <c r="M73">
        <v>100.6</v>
      </c>
      <c r="N73">
        <v>119.1</v>
      </c>
      <c r="O73">
        <v>116.8</v>
      </c>
      <c r="P73">
        <v>126.1</v>
      </c>
      <c r="Q73">
        <v>123.6</v>
      </c>
      <c r="R73">
        <v>123</v>
      </c>
      <c r="S73">
        <v>122.6</v>
      </c>
      <c r="T73">
        <v>118.6</v>
      </c>
      <c r="U73">
        <v>122</v>
      </c>
      <c r="V73">
        <v>116.5</v>
      </c>
      <c r="W73">
        <v>115.7</v>
      </c>
      <c r="X73">
        <v>117.5</v>
      </c>
      <c r="Y73">
        <v>115.1</v>
      </c>
      <c r="Z73">
        <v>110.1</v>
      </c>
      <c r="AA73">
        <v>113.9</v>
      </c>
      <c r="AB73">
        <v>119.5</v>
      </c>
      <c r="AC73">
        <v>109.8</v>
      </c>
      <c r="AD73">
        <v>113.8</v>
      </c>
      <c r="AE73">
        <v>119.4</v>
      </c>
      <c r="AF73">
        <f t="shared" si="2"/>
        <v>120.675</v>
      </c>
      <c r="AG73">
        <v>123</v>
      </c>
      <c r="AH73">
        <f>AVERAGE(Table1[[#This Row],[Clothing]:[Footwear]])</f>
        <v>120.6</v>
      </c>
      <c r="AI73">
        <v>115.7</v>
      </c>
      <c r="AJ73">
        <v>117.5</v>
      </c>
      <c r="AK73">
        <v>110.1</v>
      </c>
      <c r="AL73">
        <v>113.9</v>
      </c>
      <c r="AM73" t="str">
        <f t="shared" si="3"/>
        <v>Pre-COVID</v>
      </c>
    </row>
    <row r="74" spans="1:39" x14ac:dyDescent="0.35">
      <c r="A74" t="s">
        <v>30</v>
      </c>
      <c r="B74">
        <v>2015</v>
      </c>
      <c r="C74" t="s">
        <v>31</v>
      </c>
      <c r="D74" s="4">
        <f>DATE(B74,MATCH(C74,{"January","February","March","April","May","June","July","August","September","October","November","December"},0),1)</f>
        <v>42005</v>
      </c>
      <c r="E74">
        <v>123.1</v>
      </c>
      <c r="F74">
        <v>123.1</v>
      </c>
      <c r="G74">
        <v>122.1</v>
      </c>
      <c r="H74">
        <v>124.9</v>
      </c>
      <c r="I74">
        <v>111</v>
      </c>
      <c r="J74">
        <v>130.4</v>
      </c>
      <c r="K74">
        <v>132.30000000000001</v>
      </c>
      <c r="L74">
        <v>117.2</v>
      </c>
      <c r="M74">
        <v>100.5</v>
      </c>
      <c r="N74">
        <v>117.2</v>
      </c>
      <c r="O74">
        <v>117.9</v>
      </c>
      <c r="P74">
        <v>125.6</v>
      </c>
      <c r="Q74">
        <v>122.8</v>
      </c>
      <c r="R74">
        <v>122.7</v>
      </c>
      <c r="S74">
        <v>124.4</v>
      </c>
      <c r="T74">
        <v>121.6</v>
      </c>
      <c r="U74">
        <v>124</v>
      </c>
      <c r="V74">
        <v>117.3</v>
      </c>
      <c r="W74">
        <v>118.4</v>
      </c>
      <c r="X74">
        <v>118.9</v>
      </c>
      <c r="Y74">
        <v>116.6</v>
      </c>
      <c r="Z74">
        <v>111</v>
      </c>
      <c r="AA74">
        <v>114</v>
      </c>
      <c r="AB74">
        <v>118.2</v>
      </c>
      <c r="AC74">
        <v>110.2</v>
      </c>
      <c r="AD74">
        <v>114.5</v>
      </c>
      <c r="AE74">
        <v>120.3</v>
      </c>
      <c r="AF74">
        <f t="shared" si="2"/>
        <v>120.44166666666666</v>
      </c>
      <c r="AG74">
        <v>122.7</v>
      </c>
      <c r="AH74">
        <f>AVERAGE(Table1[[#This Row],[Clothing]:[Footwear]])</f>
        <v>123</v>
      </c>
      <c r="AI74">
        <v>118.4</v>
      </c>
      <c r="AJ74">
        <v>118.9</v>
      </c>
      <c r="AK74">
        <v>111</v>
      </c>
      <c r="AL74">
        <v>114</v>
      </c>
      <c r="AM74" t="str">
        <f t="shared" si="3"/>
        <v>Pre-COVID</v>
      </c>
    </row>
    <row r="75" spans="1:39" x14ac:dyDescent="0.35">
      <c r="A75" t="s">
        <v>33</v>
      </c>
      <c r="B75">
        <v>2015</v>
      </c>
      <c r="C75" t="s">
        <v>31</v>
      </c>
      <c r="D75" s="4">
        <f>DATE(B75,MATCH(C75,{"January","February","March","April","May","June","July","August","September","October","November","December"},0),1)</f>
        <v>42005</v>
      </c>
      <c r="E75">
        <v>124</v>
      </c>
      <c r="F75">
        <v>125.5</v>
      </c>
      <c r="G75">
        <v>126.6</v>
      </c>
      <c r="H75">
        <v>125.2</v>
      </c>
      <c r="I75">
        <v>104.3</v>
      </c>
      <c r="J75">
        <v>121.3</v>
      </c>
      <c r="K75">
        <v>134.4</v>
      </c>
      <c r="L75">
        <v>122.9</v>
      </c>
      <c r="M75">
        <v>96.1</v>
      </c>
      <c r="N75">
        <v>126.6</v>
      </c>
      <c r="O75">
        <v>116.5</v>
      </c>
      <c r="P75">
        <v>128</v>
      </c>
      <c r="Q75">
        <v>123.5</v>
      </c>
      <c r="R75">
        <v>127.4</v>
      </c>
      <c r="S75">
        <v>121</v>
      </c>
      <c r="T75">
        <v>116.1</v>
      </c>
      <c r="U75">
        <v>120.2</v>
      </c>
      <c r="V75">
        <v>117.3</v>
      </c>
      <c r="W75">
        <v>113.4</v>
      </c>
      <c r="X75">
        <v>117.2</v>
      </c>
      <c r="Y75">
        <v>113.7</v>
      </c>
      <c r="Z75">
        <v>107.9</v>
      </c>
      <c r="AA75">
        <v>114.6</v>
      </c>
      <c r="AB75">
        <v>120.8</v>
      </c>
      <c r="AC75">
        <v>111.4</v>
      </c>
      <c r="AD75">
        <v>113.4</v>
      </c>
      <c r="AE75">
        <v>118.5</v>
      </c>
      <c r="AF75">
        <f t="shared" si="2"/>
        <v>120.94999999999999</v>
      </c>
      <c r="AG75">
        <v>127.4</v>
      </c>
      <c r="AH75">
        <f>AVERAGE(Table1[[#This Row],[Clothing]:[Footwear]])</f>
        <v>118.55</v>
      </c>
      <c r="AI75">
        <v>113.4</v>
      </c>
      <c r="AJ75">
        <v>117.2</v>
      </c>
      <c r="AK75">
        <v>107.9</v>
      </c>
      <c r="AL75">
        <v>114.6</v>
      </c>
      <c r="AM75" t="str">
        <f t="shared" si="3"/>
        <v>Pre-COVID</v>
      </c>
    </row>
    <row r="76" spans="1:39" x14ac:dyDescent="0.35">
      <c r="A76" t="s">
        <v>34</v>
      </c>
      <c r="B76">
        <v>2015</v>
      </c>
      <c r="C76" t="s">
        <v>31</v>
      </c>
      <c r="D76" s="4">
        <f>DATE(B76,MATCH(C76,{"January","February","March","April","May","June","July","August","September","October","November","December"},0),1)</f>
        <v>42005</v>
      </c>
      <c r="E76">
        <v>123.4</v>
      </c>
      <c r="F76">
        <v>123.9</v>
      </c>
      <c r="G76">
        <v>123.8</v>
      </c>
      <c r="H76">
        <v>125</v>
      </c>
      <c r="I76">
        <v>108.5</v>
      </c>
      <c r="J76">
        <v>126.2</v>
      </c>
      <c r="K76">
        <v>133</v>
      </c>
      <c r="L76">
        <v>119.1</v>
      </c>
      <c r="M76">
        <v>99</v>
      </c>
      <c r="N76">
        <v>120.3</v>
      </c>
      <c r="O76">
        <v>117.3</v>
      </c>
      <c r="P76">
        <v>126.7</v>
      </c>
      <c r="Q76">
        <v>123.1</v>
      </c>
      <c r="R76">
        <v>124</v>
      </c>
      <c r="S76">
        <v>123.1</v>
      </c>
      <c r="T76">
        <v>119.3</v>
      </c>
      <c r="U76">
        <v>122.5</v>
      </c>
      <c r="V76">
        <v>117.3</v>
      </c>
      <c r="W76">
        <v>116.5</v>
      </c>
      <c r="X76">
        <v>118.1</v>
      </c>
      <c r="Y76">
        <v>115.5</v>
      </c>
      <c r="Z76">
        <v>109.4</v>
      </c>
      <c r="AA76">
        <v>114.3</v>
      </c>
      <c r="AB76">
        <v>119.7</v>
      </c>
      <c r="AC76">
        <v>110.7</v>
      </c>
      <c r="AD76">
        <v>114</v>
      </c>
      <c r="AE76">
        <v>119.5</v>
      </c>
      <c r="AF76">
        <f t="shared" si="2"/>
        <v>120.51666666666667</v>
      </c>
      <c r="AG76">
        <v>124</v>
      </c>
      <c r="AH76">
        <f>AVERAGE(Table1[[#This Row],[Clothing]:[Footwear]])</f>
        <v>121.19999999999999</v>
      </c>
      <c r="AI76">
        <v>116.5</v>
      </c>
      <c r="AJ76">
        <v>118.1</v>
      </c>
      <c r="AK76">
        <v>109.4</v>
      </c>
      <c r="AL76">
        <v>114.3</v>
      </c>
      <c r="AM76" t="str">
        <f t="shared" si="3"/>
        <v>Pre-COVID</v>
      </c>
    </row>
    <row r="77" spans="1:39" x14ac:dyDescent="0.35">
      <c r="A77" t="s">
        <v>30</v>
      </c>
      <c r="B77">
        <v>2015</v>
      </c>
      <c r="C77" t="s">
        <v>35</v>
      </c>
      <c r="D77" s="4">
        <f>DATE(B77,MATCH(C77,{"January","February","March","April","May","June","July","August","September","October","November","December"},0),1)</f>
        <v>42036</v>
      </c>
      <c r="E77">
        <v>123.4</v>
      </c>
      <c r="F77">
        <v>124.4</v>
      </c>
      <c r="G77">
        <v>122.1</v>
      </c>
      <c r="H77">
        <v>125.8</v>
      </c>
      <c r="I77">
        <v>111.5</v>
      </c>
      <c r="J77">
        <v>129.4</v>
      </c>
      <c r="K77">
        <v>128.19999999999999</v>
      </c>
      <c r="L77">
        <v>118.8</v>
      </c>
      <c r="M77">
        <v>100</v>
      </c>
      <c r="N77">
        <v>118.6</v>
      </c>
      <c r="O77">
        <v>118.8</v>
      </c>
      <c r="P77">
        <v>126.8</v>
      </c>
      <c r="Q77">
        <v>122.8</v>
      </c>
      <c r="R77">
        <v>124.2</v>
      </c>
      <c r="S77">
        <v>125.4</v>
      </c>
      <c r="T77">
        <v>122.7</v>
      </c>
      <c r="U77">
        <v>125</v>
      </c>
      <c r="V77">
        <v>118.1</v>
      </c>
      <c r="W77">
        <v>120</v>
      </c>
      <c r="X77">
        <v>119.6</v>
      </c>
      <c r="Y77">
        <v>117.7</v>
      </c>
      <c r="Z77">
        <v>110.9</v>
      </c>
      <c r="AA77">
        <v>114.8</v>
      </c>
      <c r="AB77">
        <v>118.7</v>
      </c>
      <c r="AC77">
        <v>110.8</v>
      </c>
      <c r="AD77">
        <v>115</v>
      </c>
      <c r="AE77">
        <v>120.6</v>
      </c>
      <c r="AF77">
        <f t="shared" si="2"/>
        <v>120.64999999999998</v>
      </c>
      <c r="AG77">
        <v>124.2</v>
      </c>
      <c r="AH77">
        <f>AVERAGE(Table1[[#This Row],[Clothing]:[Footwear]])</f>
        <v>124.05000000000001</v>
      </c>
      <c r="AI77">
        <v>120</v>
      </c>
      <c r="AJ77">
        <v>119.6</v>
      </c>
      <c r="AK77">
        <v>110.9</v>
      </c>
      <c r="AL77">
        <v>114.8</v>
      </c>
      <c r="AM77" t="str">
        <f t="shared" si="3"/>
        <v>Pre-COVID</v>
      </c>
    </row>
    <row r="78" spans="1:39" x14ac:dyDescent="0.35">
      <c r="A78" t="s">
        <v>33</v>
      </c>
      <c r="B78">
        <v>2015</v>
      </c>
      <c r="C78" t="s">
        <v>35</v>
      </c>
      <c r="D78" s="4">
        <f>DATE(B78,MATCH(C78,{"January","February","March","April","May","June","July","August","September","October","November","December"},0),1)</f>
        <v>42036</v>
      </c>
      <c r="E78">
        <v>124.3</v>
      </c>
      <c r="F78">
        <v>126.5</v>
      </c>
      <c r="G78">
        <v>119.5</v>
      </c>
      <c r="H78">
        <v>125.6</v>
      </c>
      <c r="I78">
        <v>104.9</v>
      </c>
      <c r="J78">
        <v>121.6</v>
      </c>
      <c r="K78">
        <v>131.80000000000001</v>
      </c>
      <c r="L78">
        <v>125.1</v>
      </c>
      <c r="M78">
        <v>95</v>
      </c>
      <c r="N78">
        <v>127.7</v>
      </c>
      <c r="O78">
        <v>116.8</v>
      </c>
      <c r="P78">
        <v>128.6</v>
      </c>
      <c r="Q78">
        <v>123.7</v>
      </c>
      <c r="R78">
        <v>128.1</v>
      </c>
      <c r="S78">
        <v>121.3</v>
      </c>
      <c r="T78">
        <v>116.5</v>
      </c>
      <c r="U78">
        <v>120.6</v>
      </c>
      <c r="V78">
        <v>118.1</v>
      </c>
      <c r="W78">
        <v>114</v>
      </c>
      <c r="X78">
        <v>117.7</v>
      </c>
      <c r="Y78">
        <v>114.1</v>
      </c>
      <c r="Z78">
        <v>106.8</v>
      </c>
      <c r="AA78">
        <v>114.9</v>
      </c>
      <c r="AB78">
        <v>120.4</v>
      </c>
      <c r="AC78">
        <v>111.7</v>
      </c>
      <c r="AD78">
        <v>113.2</v>
      </c>
      <c r="AE78">
        <v>118.7</v>
      </c>
      <c r="AF78">
        <f t="shared" si="2"/>
        <v>120.61666666666667</v>
      </c>
      <c r="AG78">
        <v>128.1</v>
      </c>
      <c r="AH78">
        <f>AVERAGE(Table1[[#This Row],[Clothing]:[Footwear]])</f>
        <v>118.9</v>
      </c>
      <c r="AI78">
        <v>114</v>
      </c>
      <c r="AJ78">
        <v>117.7</v>
      </c>
      <c r="AK78">
        <v>106.8</v>
      </c>
      <c r="AL78">
        <v>114.9</v>
      </c>
      <c r="AM78" t="str">
        <f t="shared" si="3"/>
        <v>Pre-COVID</v>
      </c>
    </row>
    <row r="79" spans="1:39" x14ac:dyDescent="0.35">
      <c r="A79" t="s">
        <v>34</v>
      </c>
      <c r="B79">
        <v>2015</v>
      </c>
      <c r="C79" t="s">
        <v>35</v>
      </c>
      <c r="D79" s="4">
        <f>DATE(B79,MATCH(C79,{"January","February","March","April","May","June","July","August","September","October","November","December"},0),1)</f>
        <v>42036</v>
      </c>
      <c r="E79">
        <v>123.7</v>
      </c>
      <c r="F79">
        <v>125.1</v>
      </c>
      <c r="G79">
        <v>121.1</v>
      </c>
      <c r="H79">
        <v>125.7</v>
      </c>
      <c r="I79">
        <v>109.1</v>
      </c>
      <c r="J79">
        <v>125.8</v>
      </c>
      <c r="K79">
        <v>129.4</v>
      </c>
      <c r="L79">
        <v>120.9</v>
      </c>
      <c r="M79">
        <v>98.3</v>
      </c>
      <c r="N79">
        <v>121.6</v>
      </c>
      <c r="O79">
        <v>118</v>
      </c>
      <c r="P79">
        <v>127.6</v>
      </c>
      <c r="Q79">
        <v>123.1</v>
      </c>
      <c r="R79">
        <v>125.2</v>
      </c>
      <c r="S79">
        <v>123.8</v>
      </c>
      <c r="T79">
        <v>120.1</v>
      </c>
      <c r="U79">
        <v>123.3</v>
      </c>
      <c r="V79">
        <v>118.1</v>
      </c>
      <c r="W79">
        <v>117.7</v>
      </c>
      <c r="X79">
        <v>118.7</v>
      </c>
      <c r="Y79">
        <v>116.3</v>
      </c>
      <c r="Z79">
        <v>108.7</v>
      </c>
      <c r="AA79">
        <v>114.9</v>
      </c>
      <c r="AB79">
        <v>119.7</v>
      </c>
      <c r="AC79">
        <v>111.2</v>
      </c>
      <c r="AD79">
        <v>114.1</v>
      </c>
      <c r="AE79">
        <v>119.7</v>
      </c>
      <c r="AF79">
        <f t="shared" si="2"/>
        <v>120.52499999999998</v>
      </c>
      <c r="AG79">
        <v>125.2</v>
      </c>
      <c r="AH79">
        <f>AVERAGE(Table1[[#This Row],[Clothing]:[Footwear]])</f>
        <v>121.94999999999999</v>
      </c>
      <c r="AI79">
        <v>117.7</v>
      </c>
      <c r="AJ79">
        <v>118.7</v>
      </c>
      <c r="AK79">
        <v>108.7</v>
      </c>
      <c r="AL79">
        <v>114.9</v>
      </c>
      <c r="AM79" t="str">
        <f t="shared" si="3"/>
        <v>Pre-COVID</v>
      </c>
    </row>
    <row r="80" spans="1:39" x14ac:dyDescent="0.35">
      <c r="A80" t="s">
        <v>30</v>
      </c>
      <c r="B80">
        <v>2015</v>
      </c>
      <c r="C80" t="s">
        <v>36</v>
      </c>
      <c r="D80" s="4">
        <f>DATE(B80,MATCH(C80,{"January","February","March","April","May","June","July","August","September","October","November","December"},0),1)</f>
        <v>42064</v>
      </c>
      <c r="E80">
        <v>123.3</v>
      </c>
      <c r="F80">
        <v>124.7</v>
      </c>
      <c r="G80">
        <v>118.9</v>
      </c>
      <c r="H80">
        <v>126</v>
      </c>
      <c r="I80">
        <v>111.8</v>
      </c>
      <c r="J80">
        <v>130.9</v>
      </c>
      <c r="K80">
        <v>128</v>
      </c>
      <c r="L80">
        <v>119.9</v>
      </c>
      <c r="M80">
        <v>98.9</v>
      </c>
      <c r="N80">
        <v>119.4</v>
      </c>
      <c r="O80">
        <v>118.9</v>
      </c>
      <c r="P80">
        <v>127.7</v>
      </c>
      <c r="Q80">
        <v>123.1</v>
      </c>
      <c r="R80">
        <v>124.7</v>
      </c>
      <c r="S80">
        <v>126</v>
      </c>
      <c r="T80">
        <v>122.9</v>
      </c>
      <c r="U80">
        <v>125.5</v>
      </c>
      <c r="V80">
        <v>118.6</v>
      </c>
      <c r="W80">
        <v>120.6</v>
      </c>
      <c r="X80">
        <v>120.2</v>
      </c>
      <c r="Y80">
        <v>118.2</v>
      </c>
      <c r="Z80">
        <v>111.6</v>
      </c>
      <c r="AA80">
        <v>115.5</v>
      </c>
      <c r="AB80">
        <v>119.4</v>
      </c>
      <c r="AC80">
        <v>110.8</v>
      </c>
      <c r="AD80">
        <v>115.5</v>
      </c>
      <c r="AE80">
        <v>121.1</v>
      </c>
      <c r="AF80">
        <f t="shared" si="2"/>
        <v>120.7</v>
      </c>
      <c r="AG80">
        <v>124.7</v>
      </c>
      <c r="AH80">
        <f>AVERAGE(Table1[[#This Row],[Clothing]:[Footwear]])</f>
        <v>124.45</v>
      </c>
      <c r="AI80">
        <v>120.6</v>
      </c>
      <c r="AJ80">
        <v>120.2</v>
      </c>
      <c r="AK80">
        <v>111.6</v>
      </c>
      <c r="AL80">
        <v>115.5</v>
      </c>
      <c r="AM80" t="str">
        <f t="shared" si="3"/>
        <v>Pre-COVID</v>
      </c>
    </row>
    <row r="81" spans="1:39" x14ac:dyDescent="0.35">
      <c r="A81" t="s">
        <v>33</v>
      </c>
      <c r="B81">
        <v>2015</v>
      </c>
      <c r="C81" t="s">
        <v>36</v>
      </c>
      <c r="D81" s="4">
        <f>DATE(B81,MATCH(C81,{"January","February","March","April","May","June","July","August","September","October","November","December"},0),1)</f>
        <v>42064</v>
      </c>
      <c r="E81">
        <v>124</v>
      </c>
      <c r="F81">
        <v>126.7</v>
      </c>
      <c r="G81">
        <v>113.5</v>
      </c>
      <c r="H81">
        <v>125.9</v>
      </c>
      <c r="I81">
        <v>104.8</v>
      </c>
      <c r="J81">
        <v>123.8</v>
      </c>
      <c r="K81">
        <v>131.4</v>
      </c>
      <c r="L81">
        <v>127.2</v>
      </c>
      <c r="M81">
        <v>93.2</v>
      </c>
      <c r="N81">
        <v>127.4</v>
      </c>
      <c r="O81">
        <v>117</v>
      </c>
      <c r="P81">
        <v>129.19999999999999</v>
      </c>
      <c r="Q81">
        <v>123.9</v>
      </c>
      <c r="R81">
        <v>128.80000000000001</v>
      </c>
      <c r="S81">
        <v>121.7</v>
      </c>
      <c r="T81">
        <v>116.9</v>
      </c>
      <c r="U81">
        <v>120.9</v>
      </c>
      <c r="V81">
        <v>118.6</v>
      </c>
      <c r="W81">
        <v>114.4</v>
      </c>
      <c r="X81">
        <v>118</v>
      </c>
      <c r="Y81">
        <v>114.3</v>
      </c>
      <c r="Z81">
        <v>108.4</v>
      </c>
      <c r="AA81">
        <v>115.4</v>
      </c>
      <c r="AB81">
        <v>120.6</v>
      </c>
      <c r="AC81">
        <v>111.3</v>
      </c>
      <c r="AD81">
        <v>113.8</v>
      </c>
      <c r="AE81">
        <v>119.1</v>
      </c>
      <c r="AF81">
        <f t="shared" si="2"/>
        <v>120.34166666666668</v>
      </c>
      <c r="AG81">
        <v>128.80000000000001</v>
      </c>
      <c r="AH81">
        <f>AVERAGE(Table1[[#This Row],[Clothing]:[Footwear]])</f>
        <v>119.30000000000001</v>
      </c>
      <c r="AI81">
        <v>114.4</v>
      </c>
      <c r="AJ81">
        <v>118</v>
      </c>
      <c r="AK81">
        <v>108.4</v>
      </c>
      <c r="AL81">
        <v>115.4</v>
      </c>
      <c r="AM81" t="str">
        <f t="shared" si="3"/>
        <v>Pre-COVID</v>
      </c>
    </row>
    <row r="82" spans="1:39" x14ac:dyDescent="0.35">
      <c r="A82" t="s">
        <v>34</v>
      </c>
      <c r="B82">
        <v>2015</v>
      </c>
      <c r="C82" t="s">
        <v>36</v>
      </c>
      <c r="D82" s="4">
        <f>DATE(B82,MATCH(C82,{"January","February","March","April","May","June","July","August","September","October","November","December"},0),1)</f>
        <v>42064</v>
      </c>
      <c r="E82">
        <v>123.5</v>
      </c>
      <c r="F82">
        <v>125.4</v>
      </c>
      <c r="G82">
        <v>116.8</v>
      </c>
      <c r="H82">
        <v>126</v>
      </c>
      <c r="I82">
        <v>109.2</v>
      </c>
      <c r="J82">
        <v>127.6</v>
      </c>
      <c r="K82">
        <v>129.19999999999999</v>
      </c>
      <c r="L82">
        <v>122.4</v>
      </c>
      <c r="M82">
        <v>97</v>
      </c>
      <c r="N82">
        <v>122.1</v>
      </c>
      <c r="O82">
        <v>118.1</v>
      </c>
      <c r="P82">
        <v>128.4</v>
      </c>
      <c r="Q82">
        <v>123.4</v>
      </c>
      <c r="R82">
        <v>125.8</v>
      </c>
      <c r="S82">
        <v>124.3</v>
      </c>
      <c r="T82">
        <v>120.4</v>
      </c>
      <c r="U82">
        <v>123.7</v>
      </c>
      <c r="V82">
        <v>118.6</v>
      </c>
      <c r="W82">
        <v>118.3</v>
      </c>
      <c r="X82">
        <v>119.2</v>
      </c>
      <c r="Y82">
        <v>116.7</v>
      </c>
      <c r="Z82">
        <v>109.9</v>
      </c>
      <c r="AA82">
        <v>115.4</v>
      </c>
      <c r="AB82">
        <v>120.1</v>
      </c>
      <c r="AC82">
        <v>111</v>
      </c>
      <c r="AD82">
        <v>114.7</v>
      </c>
      <c r="AE82">
        <v>120.2</v>
      </c>
      <c r="AF82">
        <f t="shared" si="2"/>
        <v>120.47499999999998</v>
      </c>
      <c r="AG82">
        <v>125.8</v>
      </c>
      <c r="AH82">
        <f>AVERAGE(Table1[[#This Row],[Clothing]:[Footwear]])</f>
        <v>122.35</v>
      </c>
      <c r="AI82">
        <v>118.3</v>
      </c>
      <c r="AJ82">
        <v>119.2</v>
      </c>
      <c r="AK82">
        <v>109.9</v>
      </c>
      <c r="AL82">
        <v>115.4</v>
      </c>
      <c r="AM82" t="str">
        <f t="shared" si="3"/>
        <v>Pre-COVID</v>
      </c>
    </row>
    <row r="83" spans="1:39" x14ac:dyDescent="0.35">
      <c r="A83" t="s">
        <v>30</v>
      </c>
      <c r="B83">
        <v>2015</v>
      </c>
      <c r="C83" t="s">
        <v>37</v>
      </c>
      <c r="D83" s="4">
        <f>DATE(B83,MATCH(C83,{"January","February","March","April","May","June","July","August","September","October","November","December"},0),1)</f>
        <v>42095</v>
      </c>
      <c r="E83">
        <v>123.3</v>
      </c>
      <c r="F83">
        <v>125.5</v>
      </c>
      <c r="G83">
        <v>117.2</v>
      </c>
      <c r="H83">
        <v>126.8</v>
      </c>
      <c r="I83">
        <v>111.9</v>
      </c>
      <c r="J83">
        <v>134.19999999999999</v>
      </c>
      <c r="K83">
        <v>127.5</v>
      </c>
      <c r="L83">
        <v>121.5</v>
      </c>
      <c r="M83">
        <v>97.8</v>
      </c>
      <c r="N83">
        <v>119.8</v>
      </c>
      <c r="O83">
        <v>119.4</v>
      </c>
      <c r="P83">
        <v>128.69999999999999</v>
      </c>
      <c r="Q83">
        <v>123.6</v>
      </c>
      <c r="R83">
        <v>125.7</v>
      </c>
      <c r="S83">
        <v>126.4</v>
      </c>
      <c r="T83">
        <v>123.3</v>
      </c>
      <c r="U83">
        <v>126</v>
      </c>
      <c r="V83">
        <v>119.2</v>
      </c>
      <c r="W83">
        <v>121.2</v>
      </c>
      <c r="X83">
        <v>120.9</v>
      </c>
      <c r="Y83">
        <v>118.6</v>
      </c>
      <c r="Z83">
        <v>111.9</v>
      </c>
      <c r="AA83">
        <v>116.2</v>
      </c>
      <c r="AB83">
        <v>119.9</v>
      </c>
      <c r="AC83">
        <v>111.6</v>
      </c>
      <c r="AD83">
        <v>116</v>
      </c>
      <c r="AE83">
        <v>121.5</v>
      </c>
      <c r="AF83">
        <f t="shared" si="2"/>
        <v>121.13333333333334</v>
      </c>
      <c r="AG83">
        <v>125.7</v>
      </c>
      <c r="AH83">
        <f>AVERAGE(Table1[[#This Row],[Clothing]:[Footwear]])</f>
        <v>124.85</v>
      </c>
      <c r="AI83">
        <v>121.2</v>
      </c>
      <c r="AJ83">
        <v>120.9</v>
      </c>
      <c r="AK83">
        <v>111.9</v>
      </c>
      <c r="AL83">
        <v>116.2</v>
      </c>
      <c r="AM83" t="str">
        <f t="shared" si="3"/>
        <v>Pre-COVID</v>
      </c>
    </row>
    <row r="84" spans="1:39" x14ac:dyDescent="0.35">
      <c r="A84" t="s">
        <v>33</v>
      </c>
      <c r="B84">
        <v>2015</v>
      </c>
      <c r="C84" t="s">
        <v>37</v>
      </c>
      <c r="D84" s="4">
        <f>DATE(B84,MATCH(C84,{"January","February","March","April","May","June","July","August","September","October","November","December"},0),1)</f>
        <v>42095</v>
      </c>
      <c r="E84">
        <v>123.8</v>
      </c>
      <c r="F84">
        <v>128.19999999999999</v>
      </c>
      <c r="G84">
        <v>110</v>
      </c>
      <c r="H84">
        <v>126.3</v>
      </c>
      <c r="I84">
        <v>104.5</v>
      </c>
      <c r="J84">
        <v>130.6</v>
      </c>
      <c r="K84">
        <v>130.80000000000001</v>
      </c>
      <c r="L84">
        <v>131.30000000000001</v>
      </c>
      <c r="M84">
        <v>91.6</v>
      </c>
      <c r="N84">
        <v>127.7</v>
      </c>
      <c r="O84">
        <v>117.2</v>
      </c>
      <c r="P84">
        <v>129.5</v>
      </c>
      <c r="Q84">
        <v>124.6</v>
      </c>
      <c r="R84">
        <v>130.1</v>
      </c>
      <c r="S84">
        <v>122.1</v>
      </c>
      <c r="T84">
        <v>117.2</v>
      </c>
      <c r="U84">
        <v>121.3</v>
      </c>
      <c r="V84">
        <v>119.2</v>
      </c>
      <c r="W84">
        <v>114.7</v>
      </c>
      <c r="X84">
        <v>118.4</v>
      </c>
      <c r="Y84">
        <v>114.6</v>
      </c>
      <c r="Z84">
        <v>108.4</v>
      </c>
      <c r="AA84">
        <v>115.6</v>
      </c>
      <c r="AB84">
        <v>121.7</v>
      </c>
      <c r="AC84">
        <v>111.8</v>
      </c>
      <c r="AD84">
        <v>114.2</v>
      </c>
      <c r="AE84">
        <v>119.7</v>
      </c>
      <c r="AF84">
        <f t="shared" si="2"/>
        <v>120.95833333333333</v>
      </c>
      <c r="AG84">
        <v>130.1</v>
      </c>
      <c r="AH84">
        <f>AVERAGE(Table1[[#This Row],[Clothing]:[Footwear]])</f>
        <v>119.65</v>
      </c>
      <c r="AI84">
        <v>114.7</v>
      </c>
      <c r="AJ84">
        <v>118.4</v>
      </c>
      <c r="AK84">
        <v>108.4</v>
      </c>
      <c r="AL84">
        <v>115.6</v>
      </c>
      <c r="AM84" t="str">
        <f t="shared" si="3"/>
        <v>Pre-COVID</v>
      </c>
    </row>
    <row r="85" spans="1:39" x14ac:dyDescent="0.35">
      <c r="A85" t="s">
        <v>34</v>
      </c>
      <c r="B85">
        <v>2015</v>
      </c>
      <c r="C85" t="s">
        <v>37</v>
      </c>
      <c r="D85" s="4">
        <f>DATE(B85,MATCH(C85,{"January","February","March","April","May","June","July","August","September","October","November","December"},0),1)</f>
        <v>42095</v>
      </c>
      <c r="E85">
        <v>123.5</v>
      </c>
      <c r="F85">
        <v>126.4</v>
      </c>
      <c r="G85">
        <v>114.4</v>
      </c>
      <c r="H85">
        <v>126.6</v>
      </c>
      <c r="I85">
        <v>109.2</v>
      </c>
      <c r="J85">
        <v>132.5</v>
      </c>
      <c r="K85">
        <v>128.6</v>
      </c>
      <c r="L85">
        <v>124.8</v>
      </c>
      <c r="M85">
        <v>95.7</v>
      </c>
      <c r="N85">
        <v>122.4</v>
      </c>
      <c r="O85">
        <v>118.5</v>
      </c>
      <c r="P85">
        <v>129.1</v>
      </c>
      <c r="Q85">
        <v>124</v>
      </c>
      <c r="R85">
        <v>126.9</v>
      </c>
      <c r="S85">
        <v>124.7</v>
      </c>
      <c r="T85">
        <v>120.8</v>
      </c>
      <c r="U85">
        <v>124.1</v>
      </c>
      <c r="V85">
        <v>119.2</v>
      </c>
      <c r="W85">
        <v>118.7</v>
      </c>
      <c r="X85">
        <v>119.7</v>
      </c>
      <c r="Y85">
        <v>117.1</v>
      </c>
      <c r="Z85">
        <v>110.1</v>
      </c>
      <c r="AA85">
        <v>115.9</v>
      </c>
      <c r="AB85">
        <v>121</v>
      </c>
      <c r="AC85">
        <v>111.7</v>
      </c>
      <c r="AD85">
        <v>115.1</v>
      </c>
      <c r="AE85">
        <v>120.7</v>
      </c>
      <c r="AF85">
        <f t="shared" si="2"/>
        <v>120.97500000000001</v>
      </c>
      <c r="AG85">
        <v>126.9</v>
      </c>
      <c r="AH85">
        <f>AVERAGE(Table1[[#This Row],[Clothing]:[Footwear]])</f>
        <v>122.75</v>
      </c>
      <c r="AI85">
        <v>118.7</v>
      </c>
      <c r="AJ85">
        <v>119.7</v>
      </c>
      <c r="AK85">
        <v>110.1</v>
      </c>
      <c r="AL85">
        <v>115.9</v>
      </c>
      <c r="AM85" t="str">
        <f t="shared" si="3"/>
        <v>Pre-COVID</v>
      </c>
    </row>
    <row r="86" spans="1:39" x14ac:dyDescent="0.35">
      <c r="A86" t="s">
        <v>30</v>
      </c>
      <c r="B86">
        <v>2015</v>
      </c>
      <c r="C86" t="s">
        <v>38</v>
      </c>
      <c r="D86" s="4">
        <f>DATE(B86,MATCH(C86,{"January","February","March","April","May","June","July","August","September","October","November","December"},0),1)</f>
        <v>42125</v>
      </c>
      <c r="E86">
        <v>123.5</v>
      </c>
      <c r="F86">
        <v>127.1</v>
      </c>
      <c r="G86">
        <v>117.3</v>
      </c>
      <c r="H86">
        <v>127.7</v>
      </c>
      <c r="I86">
        <v>112.5</v>
      </c>
      <c r="J86">
        <v>134.1</v>
      </c>
      <c r="K86">
        <v>128.5</v>
      </c>
      <c r="L86">
        <v>124.3</v>
      </c>
      <c r="M86">
        <v>97.6</v>
      </c>
      <c r="N86">
        <v>120.7</v>
      </c>
      <c r="O86">
        <v>120.2</v>
      </c>
      <c r="P86">
        <v>129.80000000000001</v>
      </c>
      <c r="Q86">
        <v>124.4</v>
      </c>
      <c r="R86">
        <v>126.7</v>
      </c>
      <c r="S86">
        <v>127.3</v>
      </c>
      <c r="T86">
        <v>124.1</v>
      </c>
      <c r="U86">
        <v>126.8</v>
      </c>
      <c r="V86">
        <v>119.6</v>
      </c>
      <c r="W86">
        <v>121.9</v>
      </c>
      <c r="X86">
        <v>121.5</v>
      </c>
      <c r="Y86">
        <v>119.4</v>
      </c>
      <c r="Z86">
        <v>113.3</v>
      </c>
      <c r="AA86">
        <v>116.7</v>
      </c>
      <c r="AB86">
        <v>120.5</v>
      </c>
      <c r="AC86">
        <v>112.3</v>
      </c>
      <c r="AD86">
        <v>116.9</v>
      </c>
      <c r="AE86">
        <v>122.4</v>
      </c>
      <c r="AF86">
        <f t="shared" si="2"/>
        <v>121.94166666666666</v>
      </c>
      <c r="AG86">
        <v>126.7</v>
      </c>
      <c r="AH86">
        <f>AVERAGE(Table1[[#This Row],[Clothing]:[Footwear]])</f>
        <v>125.69999999999999</v>
      </c>
      <c r="AI86">
        <v>121.9</v>
      </c>
      <c r="AJ86">
        <v>121.5</v>
      </c>
      <c r="AK86">
        <v>113.3</v>
      </c>
      <c r="AL86">
        <v>116.7</v>
      </c>
      <c r="AM86" t="str">
        <f t="shared" si="3"/>
        <v>Pre-COVID</v>
      </c>
    </row>
    <row r="87" spans="1:39" x14ac:dyDescent="0.35">
      <c r="A87" t="s">
        <v>33</v>
      </c>
      <c r="B87">
        <v>2015</v>
      </c>
      <c r="C87" t="s">
        <v>38</v>
      </c>
      <c r="D87" s="4">
        <f>DATE(B87,MATCH(C87,{"January","February","March","April","May","June","July","August","September","October","November","December"},0),1)</f>
        <v>42125</v>
      </c>
      <c r="E87">
        <v>123.8</v>
      </c>
      <c r="F87">
        <v>129.69999999999999</v>
      </c>
      <c r="G87">
        <v>111.3</v>
      </c>
      <c r="H87">
        <v>126.6</v>
      </c>
      <c r="I87">
        <v>105.2</v>
      </c>
      <c r="J87">
        <v>130.80000000000001</v>
      </c>
      <c r="K87">
        <v>135.6</v>
      </c>
      <c r="L87">
        <v>142.6</v>
      </c>
      <c r="M87">
        <v>90.8</v>
      </c>
      <c r="N87">
        <v>128.80000000000001</v>
      </c>
      <c r="O87">
        <v>117.7</v>
      </c>
      <c r="P87">
        <v>129.9</v>
      </c>
      <c r="Q87">
        <v>126.1</v>
      </c>
      <c r="R87">
        <v>131.30000000000001</v>
      </c>
      <c r="S87">
        <v>122.4</v>
      </c>
      <c r="T87">
        <v>117.4</v>
      </c>
      <c r="U87">
        <v>121.6</v>
      </c>
      <c r="V87">
        <v>119.6</v>
      </c>
      <c r="W87">
        <v>114.9</v>
      </c>
      <c r="X87">
        <v>118.7</v>
      </c>
      <c r="Y87">
        <v>114.9</v>
      </c>
      <c r="Z87">
        <v>110.8</v>
      </c>
      <c r="AA87">
        <v>116</v>
      </c>
      <c r="AB87">
        <v>122</v>
      </c>
      <c r="AC87">
        <v>112.4</v>
      </c>
      <c r="AD87">
        <v>115.2</v>
      </c>
      <c r="AE87">
        <v>120.7</v>
      </c>
      <c r="AF87">
        <f t="shared" si="2"/>
        <v>122.73333333333335</v>
      </c>
      <c r="AG87">
        <v>131.30000000000001</v>
      </c>
      <c r="AH87">
        <f>AVERAGE(Table1[[#This Row],[Clothing]:[Footwear]])</f>
        <v>119.9</v>
      </c>
      <c r="AI87">
        <v>114.9</v>
      </c>
      <c r="AJ87">
        <v>118.7</v>
      </c>
      <c r="AK87">
        <v>110.8</v>
      </c>
      <c r="AL87">
        <v>116</v>
      </c>
      <c r="AM87" t="str">
        <f t="shared" si="3"/>
        <v>Pre-COVID</v>
      </c>
    </row>
    <row r="88" spans="1:39" x14ac:dyDescent="0.35">
      <c r="A88" t="s">
        <v>34</v>
      </c>
      <c r="B88">
        <v>2015</v>
      </c>
      <c r="C88" t="s">
        <v>38</v>
      </c>
      <c r="D88" s="4">
        <f>DATE(B88,MATCH(C88,{"January","February","March","April","May","June","July","August","September","October","November","December"},0),1)</f>
        <v>42125</v>
      </c>
      <c r="E88">
        <v>123.6</v>
      </c>
      <c r="F88">
        <v>128</v>
      </c>
      <c r="G88">
        <v>115</v>
      </c>
      <c r="H88">
        <v>127.3</v>
      </c>
      <c r="I88">
        <v>109.8</v>
      </c>
      <c r="J88">
        <v>132.6</v>
      </c>
      <c r="K88">
        <v>130.9</v>
      </c>
      <c r="L88">
        <v>130.5</v>
      </c>
      <c r="M88">
        <v>95.3</v>
      </c>
      <c r="N88">
        <v>123.4</v>
      </c>
      <c r="O88">
        <v>119.2</v>
      </c>
      <c r="P88">
        <v>129.80000000000001</v>
      </c>
      <c r="Q88">
        <v>125</v>
      </c>
      <c r="R88">
        <v>127.9</v>
      </c>
      <c r="S88">
        <v>125.4</v>
      </c>
      <c r="T88">
        <v>121.3</v>
      </c>
      <c r="U88">
        <v>124.7</v>
      </c>
      <c r="V88">
        <v>119.6</v>
      </c>
      <c r="W88">
        <v>119.2</v>
      </c>
      <c r="X88">
        <v>120.2</v>
      </c>
      <c r="Y88">
        <v>117.7</v>
      </c>
      <c r="Z88">
        <v>112</v>
      </c>
      <c r="AA88">
        <v>116.3</v>
      </c>
      <c r="AB88">
        <v>121.4</v>
      </c>
      <c r="AC88">
        <v>112.3</v>
      </c>
      <c r="AD88">
        <v>116.1</v>
      </c>
      <c r="AE88">
        <v>121.6</v>
      </c>
      <c r="AF88">
        <f t="shared" si="2"/>
        <v>122.11666666666667</v>
      </c>
      <c r="AG88">
        <v>127.9</v>
      </c>
      <c r="AH88">
        <f>AVERAGE(Table1[[#This Row],[Clothing]:[Footwear]])</f>
        <v>123.35</v>
      </c>
      <c r="AI88">
        <v>119.2</v>
      </c>
      <c r="AJ88">
        <v>120.2</v>
      </c>
      <c r="AK88">
        <v>112</v>
      </c>
      <c r="AL88">
        <v>116.3</v>
      </c>
      <c r="AM88" t="str">
        <f t="shared" si="3"/>
        <v>Pre-COVID</v>
      </c>
    </row>
    <row r="89" spans="1:39" x14ac:dyDescent="0.35">
      <c r="A89" t="s">
        <v>30</v>
      </c>
      <c r="B89">
        <v>2015</v>
      </c>
      <c r="C89" t="s">
        <v>39</v>
      </c>
      <c r="D89" s="4">
        <f>DATE(B89,MATCH(C89,{"January","February","March","April","May","June","July","August","September","October","November","December"},0),1)</f>
        <v>42156</v>
      </c>
      <c r="E89">
        <v>124.1</v>
      </c>
      <c r="F89">
        <v>130.4</v>
      </c>
      <c r="G89">
        <v>122.1</v>
      </c>
      <c r="H89">
        <v>128.69999999999999</v>
      </c>
      <c r="I89">
        <v>114.1</v>
      </c>
      <c r="J89">
        <v>133.19999999999999</v>
      </c>
      <c r="K89">
        <v>135.19999999999999</v>
      </c>
      <c r="L89">
        <v>131.9</v>
      </c>
      <c r="M89">
        <v>96.3</v>
      </c>
      <c r="N89">
        <v>123</v>
      </c>
      <c r="O89">
        <v>121.1</v>
      </c>
      <c r="P89">
        <v>131.19999999999999</v>
      </c>
      <c r="Q89">
        <v>126.6</v>
      </c>
      <c r="R89">
        <v>128.19999999999999</v>
      </c>
      <c r="S89">
        <v>128.4</v>
      </c>
      <c r="T89">
        <v>125.1</v>
      </c>
      <c r="U89">
        <v>128</v>
      </c>
      <c r="V89">
        <v>119</v>
      </c>
      <c r="W89">
        <v>122.6</v>
      </c>
      <c r="X89">
        <v>122.8</v>
      </c>
      <c r="Y89">
        <v>120.4</v>
      </c>
      <c r="Z89">
        <v>114.2</v>
      </c>
      <c r="AA89">
        <v>117.9</v>
      </c>
      <c r="AB89">
        <v>122</v>
      </c>
      <c r="AC89">
        <v>113</v>
      </c>
      <c r="AD89">
        <v>117.9</v>
      </c>
      <c r="AE89">
        <v>124.1</v>
      </c>
      <c r="AF89">
        <f t="shared" si="2"/>
        <v>124.27499999999999</v>
      </c>
      <c r="AG89">
        <v>128.19999999999999</v>
      </c>
      <c r="AH89">
        <f>AVERAGE(Table1[[#This Row],[Clothing]:[Footwear]])</f>
        <v>126.75</v>
      </c>
      <c r="AI89">
        <v>122.6</v>
      </c>
      <c r="AJ89">
        <v>122.8</v>
      </c>
      <c r="AK89">
        <v>114.2</v>
      </c>
      <c r="AL89">
        <v>117.9</v>
      </c>
      <c r="AM89" t="str">
        <f t="shared" si="3"/>
        <v>Pre-COVID</v>
      </c>
    </row>
    <row r="90" spans="1:39" x14ac:dyDescent="0.35">
      <c r="A90" t="s">
        <v>33</v>
      </c>
      <c r="B90">
        <v>2015</v>
      </c>
      <c r="C90" t="s">
        <v>39</v>
      </c>
      <c r="D90" s="4">
        <f>DATE(B90,MATCH(C90,{"January","February","March","April","May","June","July","August","September","October","November","December"},0),1)</f>
        <v>42156</v>
      </c>
      <c r="E90">
        <v>123.6</v>
      </c>
      <c r="F90">
        <v>134.4</v>
      </c>
      <c r="G90">
        <v>120.9</v>
      </c>
      <c r="H90">
        <v>127.3</v>
      </c>
      <c r="I90">
        <v>106</v>
      </c>
      <c r="J90">
        <v>132.30000000000001</v>
      </c>
      <c r="K90">
        <v>146.69999999999999</v>
      </c>
      <c r="L90">
        <v>148.1</v>
      </c>
      <c r="M90">
        <v>89.8</v>
      </c>
      <c r="N90">
        <v>130.5</v>
      </c>
      <c r="O90">
        <v>118</v>
      </c>
      <c r="P90">
        <v>130.5</v>
      </c>
      <c r="Q90">
        <v>128.5</v>
      </c>
      <c r="R90">
        <v>132.1</v>
      </c>
      <c r="S90">
        <v>123.2</v>
      </c>
      <c r="T90">
        <v>117.6</v>
      </c>
      <c r="U90">
        <v>122.3</v>
      </c>
      <c r="V90">
        <v>119</v>
      </c>
      <c r="W90">
        <v>115.1</v>
      </c>
      <c r="X90">
        <v>119.2</v>
      </c>
      <c r="Y90">
        <v>115.4</v>
      </c>
      <c r="Z90">
        <v>111.7</v>
      </c>
      <c r="AA90">
        <v>116.2</v>
      </c>
      <c r="AB90">
        <v>123.8</v>
      </c>
      <c r="AC90">
        <v>112.5</v>
      </c>
      <c r="AD90">
        <v>116</v>
      </c>
      <c r="AE90">
        <v>121.7</v>
      </c>
      <c r="AF90">
        <f t="shared" si="2"/>
        <v>125.675</v>
      </c>
      <c r="AG90">
        <v>132.1</v>
      </c>
      <c r="AH90">
        <f>AVERAGE(Table1[[#This Row],[Clothing]:[Footwear]])</f>
        <v>120.4</v>
      </c>
      <c r="AI90">
        <v>115.1</v>
      </c>
      <c r="AJ90">
        <v>119.2</v>
      </c>
      <c r="AK90">
        <v>111.7</v>
      </c>
      <c r="AL90">
        <v>116.2</v>
      </c>
      <c r="AM90" t="str">
        <f t="shared" si="3"/>
        <v>Pre-COVID</v>
      </c>
    </row>
    <row r="91" spans="1:39" x14ac:dyDescent="0.35">
      <c r="A91" t="s">
        <v>34</v>
      </c>
      <c r="B91">
        <v>2015</v>
      </c>
      <c r="C91" t="s">
        <v>39</v>
      </c>
      <c r="D91" s="4">
        <f>DATE(B91,MATCH(C91,{"January","February","March","April","May","June","July","August","September","October","November","December"},0),1)</f>
        <v>42156</v>
      </c>
      <c r="E91">
        <v>123.9</v>
      </c>
      <c r="F91">
        <v>131.80000000000001</v>
      </c>
      <c r="G91">
        <v>121.6</v>
      </c>
      <c r="H91">
        <v>128.19999999999999</v>
      </c>
      <c r="I91">
        <v>111.1</v>
      </c>
      <c r="J91">
        <v>132.80000000000001</v>
      </c>
      <c r="K91">
        <v>139.1</v>
      </c>
      <c r="L91">
        <v>137.4</v>
      </c>
      <c r="M91">
        <v>94.1</v>
      </c>
      <c r="N91">
        <v>125.5</v>
      </c>
      <c r="O91">
        <v>119.8</v>
      </c>
      <c r="P91">
        <v>130.9</v>
      </c>
      <c r="Q91">
        <v>127.3</v>
      </c>
      <c r="R91">
        <v>129.19999999999999</v>
      </c>
      <c r="S91">
        <v>126.4</v>
      </c>
      <c r="T91">
        <v>122</v>
      </c>
      <c r="U91">
        <v>125.7</v>
      </c>
      <c r="V91">
        <v>119</v>
      </c>
      <c r="W91">
        <v>119.8</v>
      </c>
      <c r="X91">
        <v>121.1</v>
      </c>
      <c r="Y91">
        <v>118.5</v>
      </c>
      <c r="Z91">
        <v>112.9</v>
      </c>
      <c r="AA91">
        <v>116.9</v>
      </c>
      <c r="AB91">
        <v>123.1</v>
      </c>
      <c r="AC91">
        <v>112.8</v>
      </c>
      <c r="AD91">
        <v>117</v>
      </c>
      <c r="AE91">
        <v>123</v>
      </c>
      <c r="AF91">
        <f t="shared" si="2"/>
        <v>124.68333333333334</v>
      </c>
      <c r="AG91">
        <v>129.19999999999999</v>
      </c>
      <c r="AH91">
        <f>AVERAGE(Table1[[#This Row],[Clothing]:[Footwear]])</f>
        <v>124.2</v>
      </c>
      <c r="AI91">
        <v>119.8</v>
      </c>
      <c r="AJ91">
        <v>121.1</v>
      </c>
      <c r="AK91">
        <v>112.9</v>
      </c>
      <c r="AL91">
        <v>116.9</v>
      </c>
      <c r="AM91" t="str">
        <f t="shared" si="3"/>
        <v>Pre-COVID</v>
      </c>
    </row>
    <row r="92" spans="1:39" x14ac:dyDescent="0.35">
      <c r="A92" t="s">
        <v>30</v>
      </c>
      <c r="B92">
        <v>2015</v>
      </c>
      <c r="C92" t="s">
        <v>40</v>
      </c>
      <c r="D92" s="4">
        <f>DATE(B92,MATCH(C92,{"January","February","March","April","May","June","July","August","September","October","November","December"},0),1)</f>
        <v>42186</v>
      </c>
      <c r="E92">
        <v>124</v>
      </c>
      <c r="F92">
        <v>131.5</v>
      </c>
      <c r="G92">
        <v>122</v>
      </c>
      <c r="H92">
        <v>128.69999999999999</v>
      </c>
      <c r="I92">
        <v>113.5</v>
      </c>
      <c r="J92">
        <v>133.30000000000001</v>
      </c>
      <c r="K92">
        <v>140.80000000000001</v>
      </c>
      <c r="L92">
        <v>133.80000000000001</v>
      </c>
      <c r="M92">
        <v>94.1</v>
      </c>
      <c r="N92">
        <v>123.4</v>
      </c>
      <c r="O92">
        <v>121</v>
      </c>
      <c r="P92">
        <v>131.69999999999999</v>
      </c>
      <c r="Q92">
        <v>127.5</v>
      </c>
      <c r="R92">
        <v>129.4</v>
      </c>
      <c r="S92">
        <v>128.80000000000001</v>
      </c>
      <c r="T92">
        <v>125.5</v>
      </c>
      <c r="U92">
        <v>128.30000000000001</v>
      </c>
      <c r="V92">
        <v>119.9</v>
      </c>
      <c r="W92">
        <v>123</v>
      </c>
      <c r="X92">
        <v>123</v>
      </c>
      <c r="Y92">
        <v>120.8</v>
      </c>
      <c r="Z92">
        <v>114.1</v>
      </c>
      <c r="AA92">
        <v>118</v>
      </c>
      <c r="AB92">
        <v>122.9</v>
      </c>
      <c r="AC92">
        <v>112.7</v>
      </c>
      <c r="AD92">
        <v>118.1</v>
      </c>
      <c r="AE92">
        <v>124.7</v>
      </c>
      <c r="AF92">
        <f t="shared" si="2"/>
        <v>124.81666666666666</v>
      </c>
      <c r="AG92">
        <v>129.4</v>
      </c>
      <c r="AH92">
        <f>AVERAGE(Table1[[#This Row],[Clothing]:[Footwear]])</f>
        <v>127.15</v>
      </c>
      <c r="AI92">
        <v>123</v>
      </c>
      <c r="AJ92">
        <v>123</v>
      </c>
      <c r="AK92">
        <v>114.1</v>
      </c>
      <c r="AL92">
        <v>118</v>
      </c>
      <c r="AM92" t="str">
        <f t="shared" si="3"/>
        <v>Pre-COVID</v>
      </c>
    </row>
    <row r="93" spans="1:39" x14ac:dyDescent="0.35">
      <c r="A93" t="s">
        <v>33</v>
      </c>
      <c r="B93">
        <v>2015</v>
      </c>
      <c r="C93" t="s">
        <v>40</v>
      </c>
      <c r="D93" s="4">
        <f>DATE(B93,MATCH(C93,{"January","February","March","April","May","June","July","August","September","October","November","December"},0),1)</f>
        <v>42186</v>
      </c>
      <c r="E93">
        <v>123.2</v>
      </c>
      <c r="F93">
        <v>134.30000000000001</v>
      </c>
      <c r="G93">
        <v>119.5</v>
      </c>
      <c r="H93">
        <v>127.7</v>
      </c>
      <c r="I93">
        <v>106.3</v>
      </c>
      <c r="J93">
        <v>132.80000000000001</v>
      </c>
      <c r="K93">
        <v>153.5</v>
      </c>
      <c r="L93">
        <v>149.5</v>
      </c>
      <c r="M93">
        <v>85.7</v>
      </c>
      <c r="N93">
        <v>131.5</v>
      </c>
      <c r="O93">
        <v>118.3</v>
      </c>
      <c r="P93">
        <v>131.1</v>
      </c>
      <c r="Q93">
        <v>129.5</v>
      </c>
      <c r="R93">
        <v>133.1</v>
      </c>
      <c r="S93">
        <v>123.5</v>
      </c>
      <c r="T93">
        <v>117.9</v>
      </c>
      <c r="U93">
        <v>122.7</v>
      </c>
      <c r="V93">
        <v>119.9</v>
      </c>
      <c r="W93">
        <v>115.3</v>
      </c>
      <c r="X93">
        <v>119.5</v>
      </c>
      <c r="Y93">
        <v>116</v>
      </c>
      <c r="Z93">
        <v>111.5</v>
      </c>
      <c r="AA93">
        <v>116.6</v>
      </c>
      <c r="AB93">
        <v>125.4</v>
      </c>
      <c r="AC93">
        <v>111.7</v>
      </c>
      <c r="AD93">
        <v>116.3</v>
      </c>
      <c r="AE93">
        <v>122.4</v>
      </c>
      <c r="AF93">
        <f t="shared" si="2"/>
        <v>126.11666666666666</v>
      </c>
      <c r="AG93">
        <v>133.1</v>
      </c>
      <c r="AH93">
        <f>AVERAGE(Table1[[#This Row],[Clothing]:[Footwear]])</f>
        <v>120.7</v>
      </c>
      <c r="AI93">
        <v>115.3</v>
      </c>
      <c r="AJ93">
        <v>119.5</v>
      </c>
      <c r="AK93">
        <v>111.5</v>
      </c>
      <c r="AL93">
        <v>116.6</v>
      </c>
      <c r="AM93" t="str">
        <f t="shared" si="3"/>
        <v>Pre-COVID</v>
      </c>
    </row>
    <row r="94" spans="1:39" x14ac:dyDescent="0.35">
      <c r="A94" t="s">
        <v>34</v>
      </c>
      <c r="B94">
        <v>2015</v>
      </c>
      <c r="C94" t="s">
        <v>40</v>
      </c>
      <c r="D94" s="4">
        <f>DATE(B94,MATCH(C94,{"January","February","March","April","May","June","July","August","September","October","November","December"},0),1)</f>
        <v>42186</v>
      </c>
      <c r="E94">
        <v>123.7</v>
      </c>
      <c r="F94">
        <v>132.5</v>
      </c>
      <c r="G94">
        <v>121</v>
      </c>
      <c r="H94">
        <v>128.30000000000001</v>
      </c>
      <c r="I94">
        <v>110.9</v>
      </c>
      <c r="J94">
        <v>133.1</v>
      </c>
      <c r="K94">
        <v>145.1</v>
      </c>
      <c r="L94">
        <v>139.1</v>
      </c>
      <c r="M94">
        <v>91.3</v>
      </c>
      <c r="N94">
        <v>126.1</v>
      </c>
      <c r="O94">
        <v>119.9</v>
      </c>
      <c r="P94">
        <v>131.4</v>
      </c>
      <c r="Q94">
        <v>128.19999999999999</v>
      </c>
      <c r="R94">
        <v>130.4</v>
      </c>
      <c r="S94">
        <v>126.7</v>
      </c>
      <c r="T94">
        <v>122.3</v>
      </c>
      <c r="U94">
        <v>126.1</v>
      </c>
      <c r="V94">
        <v>119.9</v>
      </c>
      <c r="W94">
        <v>120.1</v>
      </c>
      <c r="X94">
        <v>121.3</v>
      </c>
      <c r="Y94">
        <v>119</v>
      </c>
      <c r="Z94">
        <v>112.7</v>
      </c>
      <c r="AA94">
        <v>117.2</v>
      </c>
      <c r="AB94">
        <v>124.4</v>
      </c>
      <c r="AC94">
        <v>112.3</v>
      </c>
      <c r="AD94">
        <v>117.2</v>
      </c>
      <c r="AE94">
        <v>123.6</v>
      </c>
      <c r="AF94">
        <f t="shared" si="2"/>
        <v>125.2</v>
      </c>
      <c r="AG94">
        <v>130.4</v>
      </c>
      <c r="AH94">
        <f>AVERAGE(Table1[[#This Row],[Clothing]:[Footwear]])</f>
        <v>124.5</v>
      </c>
      <c r="AI94">
        <v>120.1</v>
      </c>
      <c r="AJ94">
        <v>121.3</v>
      </c>
      <c r="AK94">
        <v>112.7</v>
      </c>
      <c r="AL94">
        <v>117.2</v>
      </c>
      <c r="AM94" t="str">
        <f t="shared" si="3"/>
        <v>Pre-COVID</v>
      </c>
    </row>
    <row r="95" spans="1:39" x14ac:dyDescent="0.35">
      <c r="A95" t="s">
        <v>30</v>
      </c>
      <c r="B95">
        <v>2015</v>
      </c>
      <c r="C95" t="s">
        <v>41</v>
      </c>
      <c r="D95" s="4">
        <f>DATE(B95,MATCH(C95,{"January","February","March","April","May","June","July","August","September","October","November","December"},0),1)</f>
        <v>42217</v>
      </c>
      <c r="E95">
        <v>124.7</v>
      </c>
      <c r="F95">
        <v>131.30000000000001</v>
      </c>
      <c r="G95">
        <v>121.3</v>
      </c>
      <c r="H95">
        <v>128.80000000000001</v>
      </c>
      <c r="I95">
        <v>114</v>
      </c>
      <c r="J95">
        <v>134.19999999999999</v>
      </c>
      <c r="K95">
        <v>153.6</v>
      </c>
      <c r="L95">
        <v>137.9</v>
      </c>
      <c r="M95">
        <v>93.1</v>
      </c>
      <c r="N95">
        <v>123.9</v>
      </c>
      <c r="O95">
        <v>121.5</v>
      </c>
      <c r="P95">
        <v>132.5</v>
      </c>
      <c r="Q95">
        <v>129.80000000000001</v>
      </c>
      <c r="R95">
        <v>130.1</v>
      </c>
      <c r="S95">
        <v>129.5</v>
      </c>
      <c r="T95">
        <v>126.3</v>
      </c>
      <c r="U95">
        <v>129</v>
      </c>
      <c r="V95">
        <v>120.9</v>
      </c>
      <c r="W95">
        <v>123.8</v>
      </c>
      <c r="X95">
        <v>123.7</v>
      </c>
      <c r="Y95">
        <v>121.1</v>
      </c>
      <c r="Z95">
        <v>113.6</v>
      </c>
      <c r="AA95">
        <v>118.5</v>
      </c>
      <c r="AB95">
        <v>123.6</v>
      </c>
      <c r="AC95">
        <v>112.5</v>
      </c>
      <c r="AD95">
        <v>118.2</v>
      </c>
      <c r="AE95">
        <v>126.1</v>
      </c>
      <c r="AF95">
        <f t="shared" si="2"/>
        <v>126.39999999999999</v>
      </c>
      <c r="AG95">
        <v>130.1</v>
      </c>
      <c r="AH95">
        <f>AVERAGE(Table1[[#This Row],[Clothing]:[Footwear]])</f>
        <v>127.9</v>
      </c>
      <c r="AI95">
        <v>123.8</v>
      </c>
      <c r="AJ95">
        <v>123.7</v>
      </c>
      <c r="AK95">
        <v>113.6</v>
      </c>
      <c r="AL95">
        <v>118.5</v>
      </c>
      <c r="AM95" t="str">
        <f t="shared" si="3"/>
        <v>Pre-COVID</v>
      </c>
    </row>
    <row r="96" spans="1:39" x14ac:dyDescent="0.35">
      <c r="A96" t="s">
        <v>33</v>
      </c>
      <c r="B96">
        <v>2015</v>
      </c>
      <c r="C96" t="s">
        <v>41</v>
      </c>
      <c r="D96" s="4">
        <f>DATE(B96,MATCH(C96,{"January","February","March","April","May","June","July","August","September","October","November","December"},0),1)</f>
        <v>42217</v>
      </c>
      <c r="E96">
        <v>123.1</v>
      </c>
      <c r="F96">
        <v>131.69999999999999</v>
      </c>
      <c r="G96">
        <v>118.1</v>
      </c>
      <c r="H96">
        <v>128</v>
      </c>
      <c r="I96">
        <v>106.8</v>
      </c>
      <c r="J96">
        <v>130.1</v>
      </c>
      <c r="K96">
        <v>165.5</v>
      </c>
      <c r="L96">
        <v>156</v>
      </c>
      <c r="M96">
        <v>85.3</v>
      </c>
      <c r="N96">
        <v>132.69999999999999</v>
      </c>
      <c r="O96">
        <v>118.8</v>
      </c>
      <c r="P96">
        <v>131.69999999999999</v>
      </c>
      <c r="Q96">
        <v>131.1</v>
      </c>
      <c r="R96">
        <v>134.19999999999999</v>
      </c>
      <c r="S96">
        <v>123.7</v>
      </c>
      <c r="T96">
        <v>118.2</v>
      </c>
      <c r="U96">
        <v>122.9</v>
      </c>
      <c r="V96">
        <v>120.9</v>
      </c>
      <c r="W96">
        <v>115.3</v>
      </c>
      <c r="X96">
        <v>120</v>
      </c>
      <c r="Y96">
        <v>116.6</v>
      </c>
      <c r="Z96">
        <v>109.9</v>
      </c>
      <c r="AA96">
        <v>117.2</v>
      </c>
      <c r="AB96">
        <v>126.2</v>
      </c>
      <c r="AC96">
        <v>112</v>
      </c>
      <c r="AD96">
        <v>116.2</v>
      </c>
      <c r="AE96">
        <v>123.2</v>
      </c>
      <c r="AF96">
        <f t="shared" si="2"/>
        <v>127.31666666666666</v>
      </c>
      <c r="AG96">
        <v>134.19999999999999</v>
      </c>
      <c r="AH96">
        <f>AVERAGE(Table1[[#This Row],[Clothing]:[Footwear]])</f>
        <v>120.95</v>
      </c>
      <c r="AI96">
        <v>115.3</v>
      </c>
      <c r="AJ96">
        <v>120</v>
      </c>
      <c r="AK96">
        <v>109.9</v>
      </c>
      <c r="AL96">
        <v>117.2</v>
      </c>
      <c r="AM96" t="str">
        <f t="shared" si="3"/>
        <v>Pre-COVID</v>
      </c>
    </row>
    <row r="97" spans="1:39" x14ac:dyDescent="0.35">
      <c r="A97" t="s">
        <v>34</v>
      </c>
      <c r="B97">
        <v>2015</v>
      </c>
      <c r="C97" t="s">
        <v>41</v>
      </c>
      <c r="D97" s="4">
        <f>DATE(B97,MATCH(C97,{"January","February","March","April","May","June","July","August","September","October","November","December"},0),1)</f>
        <v>42217</v>
      </c>
      <c r="E97">
        <v>124.2</v>
      </c>
      <c r="F97">
        <v>131.4</v>
      </c>
      <c r="G97">
        <v>120.1</v>
      </c>
      <c r="H97">
        <v>128.5</v>
      </c>
      <c r="I97">
        <v>111.4</v>
      </c>
      <c r="J97">
        <v>132.30000000000001</v>
      </c>
      <c r="K97">
        <v>157.6</v>
      </c>
      <c r="L97">
        <v>144</v>
      </c>
      <c r="M97">
        <v>90.5</v>
      </c>
      <c r="N97">
        <v>126.8</v>
      </c>
      <c r="O97">
        <v>120.4</v>
      </c>
      <c r="P97">
        <v>132.1</v>
      </c>
      <c r="Q97">
        <v>130.30000000000001</v>
      </c>
      <c r="R97">
        <v>131.19999999999999</v>
      </c>
      <c r="S97">
        <v>127.2</v>
      </c>
      <c r="T97">
        <v>122.9</v>
      </c>
      <c r="U97">
        <v>126.6</v>
      </c>
      <c r="V97">
        <v>120.9</v>
      </c>
      <c r="W97">
        <v>120.6</v>
      </c>
      <c r="X97">
        <v>122</v>
      </c>
      <c r="Y97">
        <v>119.4</v>
      </c>
      <c r="Z97">
        <v>111.7</v>
      </c>
      <c r="AA97">
        <v>117.8</v>
      </c>
      <c r="AB97">
        <v>125.1</v>
      </c>
      <c r="AC97">
        <v>112.3</v>
      </c>
      <c r="AD97">
        <v>117.2</v>
      </c>
      <c r="AE97">
        <v>124.8</v>
      </c>
      <c r="AF97">
        <f t="shared" si="2"/>
        <v>126.60833333333333</v>
      </c>
      <c r="AG97">
        <v>131.19999999999999</v>
      </c>
      <c r="AH97">
        <f>AVERAGE(Table1[[#This Row],[Clothing]:[Footwear]])</f>
        <v>125.05000000000001</v>
      </c>
      <c r="AI97">
        <v>120.6</v>
      </c>
      <c r="AJ97">
        <v>122</v>
      </c>
      <c r="AK97">
        <v>111.7</v>
      </c>
      <c r="AL97">
        <v>117.8</v>
      </c>
      <c r="AM97" t="str">
        <f t="shared" si="3"/>
        <v>Pre-COVID</v>
      </c>
    </row>
    <row r="98" spans="1:39" x14ac:dyDescent="0.35">
      <c r="A98" t="s">
        <v>30</v>
      </c>
      <c r="B98">
        <v>2015</v>
      </c>
      <c r="C98" t="s">
        <v>42</v>
      </c>
      <c r="D98" s="4">
        <f>DATE(B98,MATCH(C98,{"January","February","March","April","May","June","July","August","September","October","November","December"},0),1)</f>
        <v>42248</v>
      </c>
      <c r="E98">
        <v>125.1</v>
      </c>
      <c r="F98">
        <v>131.1</v>
      </c>
      <c r="G98">
        <v>120.7</v>
      </c>
      <c r="H98">
        <v>129.19999999999999</v>
      </c>
      <c r="I98">
        <v>114.7</v>
      </c>
      <c r="J98">
        <v>132.30000000000001</v>
      </c>
      <c r="K98">
        <v>158.9</v>
      </c>
      <c r="L98">
        <v>142.1</v>
      </c>
      <c r="M98">
        <v>92.5</v>
      </c>
      <c r="N98">
        <v>125.4</v>
      </c>
      <c r="O98">
        <v>121.9</v>
      </c>
      <c r="P98">
        <v>132.69999999999999</v>
      </c>
      <c r="Q98">
        <v>131</v>
      </c>
      <c r="R98">
        <v>131</v>
      </c>
      <c r="S98">
        <v>130.4</v>
      </c>
      <c r="T98">
        <v>126.8</v>
      </c>
      <c r="U98">
        <v>129.9</v>
      </c>
      <c r="V98">
        <v>121.6</v>
      </c>
      <c r="W98">
        <v>123.7</v>
      </c>
      <c r="X98">
        <v>124.5</v>
      </c>
      <c r="Y98">
        <v>121.4</v>
      </c>
      <c r="Z98">
        <v>113.8</v>
      </c>
      <c r="AA98">
        <v>119.6</v>
      </c>
      <c r="AB98">
        <v>124.5</v>
      </c>
      <c r="AC98">
        <v>113.7</v>
      </c>
      <c r="AD98">
        <v>118.8</v>
      </c>
      <c r="AE98">
        <v>127</v>
      </c>
      <c r="AF98">
        <f t="shared" si="2"/>
        <v>127.21666666666668</v>
      </c>
      <c r="AG98">
        <v>131</v>
      </c>
      <c r="AH98">
        <f>AVERAGE(Table1[[#This Row],[Clothing]:[Footwear]])</f>
        <v>128.6</v>
      </c>
      <c r="AI98">
        <v>123.7</v>
      </c>
      <c r="AJ98">
        <v>124.5</v>
      </c>
      <c r="AK98">
        <v>113.8</v>
      </c>
      <c r="AL98">
        <v>119.6</v>
      </c>
      <c r="AM98" t="str">
        <f t="shared" si="3"/>
        <v>Pre-COVID</v>
      </c>
    </row>
    <row r="99" spans="1:39" x14ac:dyDescent="0.35">
      <c r="A99" t="s">
        <v>33</v>
      </c>
      <c r="B99">
        <v>2015</v>
      </c>
      <c r="C99" t="s">
        <v>42</v>
      </c>
      <c r="D99" s="4">
        <f>DATE(B99,MATCH(C99,{"January","February","March","April","May","June","July","August","September","October","November","December"},0),1)</f>
        <v>42248</v>
      </c>
      <c r="E99">
        <v>123.4</v>
      </c>
      <c r="F99">
        <v>129</v>
      </c>
      <c r="G99">
        <v>115.6</v>
      </c>
      <c r="H99">
        <v>128.30000000000001</v>
      </c>
      <c r="I99">
        <v>107</v>
      </c>
      <c r="J99">
        <v>124</v>
      </c>
      <c r="K99">
        <v>168.5</v>
      </c>
      <c r="L99">
        <v>165.4</v>
      </c>
      <c r="M99">
        <v>86.3</v>
      </c>
      <c r="N99">
        <v>134.4</v>
      </c>
      <c r="O99">
        <v>119.1</v>
      </c>
      <c r="P99">
        <v>132.30000000000001</v>
      </c>
      <c r="Q99">
        <v>131.5</v>
      </c>
      <c r="R99">
        <v>134.69999999999999</v>
      </c>
      <c r="S99">
        <v>124</v>
      </c>
      <c r="T99">
        <v>118.6</v>
      </c>
      <c r="U99">
        <v>123.2</v>
      </c>
      <c r="V99">
        <v>121.6</v>
      </c>
      <c r="W99">
        <v>115.1</v>
      </c>
      <c r="X99">
        <v>120.4</v>
      </c>
      <c r="Y99">
        <v>117.1</v>
      </c>
      <c r="Z99">
        <v>109.1</v>
      </c>
      <c r="AA99">
        <v>117.3</v>
      </c>
      <c r="AB99">
        <v>126.5</v>
      </c>
      <c r="AC99">
        <v>112.9</v>
      </c>
      <c r="AD99">
        <v>116.2</v>
      </c>
      <c r="AE99">
        <v>123.5</v>
      </c>
      <c r="AF99">
        <f t="shared" si="2"/>
        <v>127.77499999999999</v>
      </c>
      <c r="AG99">
        <v>134.69999999999999</v>
      </c>
      <c r="AH99">
        <f>AVERAGE(Table1[[#This Row],[Clothing]:[Footwear]])</f>
        <v>121.3</v>
      </c>
      <c r="AI99">
        <v>115.1</v>
      </c>
      <c r="AJ99">
        <v>120.4</v>
      </c>
      <c r="AK99">
        <v>109.1</v>
      </c>
      <c r="AL99">
        <v>117.3</v>
      </c>
      <c r="AM99" t="str">
        <f t="shared" si="3"/>
        <v>Pre-COVID</v>
      </c>
    </row>
    <row r="100" spans="1:39" x14ac:dyDescent="0.35">
      <c r="A100" t="s">
        <v>34</v>
      </c>
      <c r="B100">
        <v>2015</v>
      </c>
      <c r="C100" t="s">
        <v>42</v>
      </c>
      <c r="D100" s="4">
        <f>DATE(B100,MATCH(C100,{"January","February","March","April","May","June","July","August","September","October","November","December"},0),1)</f>
        <v>42248</v>
      </c>
      <c r="E100">
        <v>124.6</v>
      </c>
      <c r="F100">
        <v>130.4</v>
      </c>
      <c r="G100">
        <v>118.7</v>
      </c>
      <c r="H100">
        <v>128.9</v>
      </c>
      <c r="I100">
        <v>111.9</v>
      </c>
      <c r="J100">
        <v>128.4</v>
      </c>
      <c r="K100">
        <v>162.19999999999999</v>
      </c>
      <c r="L100">
        <v>150</v>
      </c>
      <c r="M100">
        <v>90.4</v>
      </c>
      <c r="N100">
        <v>128.4</v>
      </c>
      <c r="O100">
        <v>120.7</v>
      </c>
      <c r="P100">
        <v>132.5</v>
      </c>
      <c r="Q100">
        <v>131.19999999999999</v>
      </c>
      <c r="R100">
        <v>132</v>
      </c>
      <c r="S100">
        <v>127.9</v>
      </c>
      <c r="T100">
        <v>123.4</v>
      </c>
      <c r="U100">
        <v>127.2</v>
      </c>
      <c r="V100">
        <v>121.6</v>
      </c>
      <c r="W100">
        <v>120.4</v>
      </c>
      <c r="X100">
        <v>122.6</v>
      </c>
      <c r="Y100">
        <v>119.8</v>
      </c>
      <c r="Z100">
        <v>111.3</v>
      </c>
      <c r="AA100">
        <v>118.3</v>
      </c>
      <c r="AB100">
        <v>125.7</v>
      </c>
      <c r="AC100">
        <v>113.4</v>
      </c>
      <c r="AD100">
        <v>117.5</v>
      </c>
      <c r="AE100">
        <v>125.4</v>
      </c>
      <c r="AF100">
        <f t="shared" si="2"/>
        <v>127.25833333333334</v>
      </c>
      <c r="AG100">
        <v>132</v>
      </c>
      <c r="AH100">
        <f>AVERAGE(Table1[[#This Row],[Clothing]:[Footwear]])</f>
        <v>125.65</v>
      </c>
      <c r="AI100">
        <v>120.4</v>
      </c>
      <c r="AJ100">
        <v>122.6</v>
      </c>
      <c r="AK100">
        <v>111.3</v>
      </c>
      <c r="AL100">
        <v>118.3</v>
      </c>
      <c r="AM100" t="str">
        <f t="shared" si="3"/>
        <v>Pre-COVID</v>
      </c>
    </row>
    <row r="101" spans="1:39" x14ac:dyDescent="0.35">
      <c r="A101" t="s">
        <v>30</v>
      </c>
      <c r="B101">
        <v>2015</v>
      </c>
      <c r="C101" t="s">
        <v>43</v>
      </c>
      <c r="D101" s="4">
        <f>DATE(B101,MATCH(C101,{"January","February","March","April","May","June","July","August","September","October","November","December"},0),1)</f>
        <v>42278</v>
      </c>
      <c r="E101">
        <v>125.6</v>
      </c>
      <c r="F101">
        <v>130.4</v>
      </c>
      <c r="G101">
        <v>120.8</v>
      </c>
      <c r="H101">
        <v>129.4</v>
      </c>
      <c r="I101">
        <v>115.8</v>
      </c>
      <c r="J101">
        <v>133.19999999999999</v>
      </c>
      <c r="K101">
        <v>157.69999999999999</v>
      </c>
      <c r="L101">
        <v>154.19999999999999</v>
      </c>
      <c r="M101">
        <v>93.7</v>
      </c>
      <c r="N101">
        <v>126.6</v>
      </c>
      <c r="O101">
        <v>122.3</v>
      </c>
      <c r="P101">
        <v>133.1</v>
      </c>
      <c r="Q101">
        <v>131.80000000000001</v>
      </c>
      <c r="R101">
        <v>131.5</v>
      </c>
      <c r="S101">
        <v>131.1</v>
      </c>
      <c r="T101">
        <v>127.3</v>
      </c>
      <c r="U101">
        <v>130.6</v>
      </c>
      <c r="V101">
        <v>122.4</v>
      </c>
      <c r="W101">
        <v>124.4</v>
      </c>
      <c r="X101">
        <v>125.1</v>
      </c>
      <c r="Y101">
        <v>122</v>
      </c>
      <c r="Z101">
        <v>113.8</v>
      </c>
      <c r="AA101">
        <v>120.1</v>
      </c>
      <c r="AB101">
        <v>125.1</v>
      </c>
      <c r="AC101">
        <v>114.2</v>
      </c>
      <c r="AD101">
        <v>119.2</v>
      </c>
      <c r="AE101">
        <v>127.7</v>
      </c>
      <c r="AF101">
        <f t="shared" si="2"/>
        <v>128.56666666666666</v>
      </c>
      <c r="AG101">
        <v>131.5</v>
      </c>
      <c r="AH101">
        <f>AVERAGE(Table1[[#This Row],[Clothing]:[Footwear]])</f>
        <v>129.19999999999999</v>
      </c>
      <c r="AI101">
        <v>124.4</v>
      </c>
      <c r="AJ101">
        <v>125.1</v>
      </c>
      <c r="AK101">
        <v>113.8</v>
      </c>
      <c r="AL101">
        <v>120.1</v>
      </c>
      <c r="AM101" t="str">
        <f t="shared" si="3"/>
        <v>Pre-COVID</v>
      </c>
    </row>
    <row r="102" spans="1:39" x14ac:dyDescent="0.35">
      <c r="A102" t="s">
        <v>33</v>
      </c>
      <c r="B102">
        <v>2015</v>
      </c>
      <c r="C102" t="s">
        <v>43</v>
      </c>
      <c r="D102" s="4">
        <f>DATE(B102,MATCH(C102,{"January","February","March","April","May","June","July","August","September","October","November","December"},0),1)</f>
        <v>42278</v>
      </c>
      <c r="E102">
        <v>123.6</v>
      </c>
      <c r="F102">
        <v>128.6</v>
      </c>
      <c r="G102">
        <v>115.9</v>
      </c>
      <c r="H102">
        <v>128.5</v>
      </c>
      <c r="I102">
        <v>109</v>
      </c>
      <c r="J102">
        <v>124.1</v>
      </c>
      <c r="K102">
        <v>165.8</v>
      </c>
      <c r="L102">
        <v>187.2</v>
      </c>
      <c r="M102">
        <v>89.4</v>
      </c>
      <c r="N102">
        <v>135.80000000000001</v>
      </c>
      <c r="O102">
        <v>119.4</v>
      </c>
      <c r="P102">
        <v>132.9</v>
      </c>
      <c r="Q102">
        <v>132.6</v>
      </c>
      <c r="R102">
        <v>135.30000000000001</v>
      </c>
      <c r="S102">
        <v>124.4</v>
      </c>
      <c r="T102">
        <v>118.8</v>
      </c>
      <c r="U102">
        <v>123.6</v>
      </c>
      <c r="V102">
        <v>122.4</v>
      </c>
      <c r="W102">
        <v>114.9</v>
      </c>
      <c r="X102">
        <v>120.7</v>
      </c>
      <c r="Y102">
        <v>117.7</v>
      </c>
      <c r="Z102">
        <v>109.3</v>
      </c>
      <c r="AA102">
        <v>117.7</v>
      </c>
      <c r="AB102">
        <v>126.5</v>
      </c>
      <c r="AC102">
        <v>113.5</v>
      </c>
      <c r="AD102">
        <v>116.5</v>
      </c>
      <c r="AE102">
        <v>124.2</v>
      </c>
      <c r="AF102">
        <f t="shared" si="2"/>
        <v>130.01666666666668</v>
      </c>
      <c r="AG102">
        <v>135.30000000000001</v>
      </c>
      <c r="AH102">
        <f>AVERAGE(Table1[[#This Row],[Clothing]:[Footwear]])</f>
        <v>121.6</v>
      </c>
      <c r="AI102">
        <v>114.9</v>
      </c>
      <c r="AJ102">
        <v>120.7</v>
      </c>
      <c r="AK102">
        <v>109.3</v>
      </c>
      <c r="AL102">
        <v>117.7</v>
      </c>
      <c r="AM102" t="str">
        <f t="shared" si="3"/>
        <v>Pre-COVID</v>
      </c>
    </row>
    <row r="103" spans="1:39" x14ac:dyDescent="0.35">
      <c r="A103" t="s">
        <v>34</v>
      </c>
      <c r="B103">
        <v>2015</v>
      </c>
      <c r="C103" t="s">
        <v>43</v>
      </c>
      <c r="D103" s="4">
        <f>DATE(B103,MATCH(C103,{"January","February","March","April","May","June","July","August","September","October","November","December"},0),1)</f>
        <v>42278</v>
      </c>
      <c r="E103">
        <v>125</v>
      </c>
      <c r="F103">
        <v>129.80000000000001</v>
      </c>
      <c r="G103">
        <v>118.9</v>
      </c>
      <c r="H103">
        <v>129.1</v>
      </c>
      <c r="I103">
        <v>113.3</v>
      </c>
      <c r="J103">
        <v>129</v>
      </c>
      <c r="K103">
        <v>160.4</v>
      </c>
      <c r="L103">
        <v>165.3</v>
      </c>
      <c r="M103">
        <v>92.3</v>
      </c>
      <c r="N103">
        <v>129.69999999999999</v>
      </c>
      <c r="O103">
        <v>121.1</v>
      </c>
      <c r="P103">
        <v>133</v>
      </c>
      <c r="Q103">
        <v>132.1</v>
      </c>
      <c r="R103">
        <v>132.5</v>
      </c>
      <c r="S103">
        <v>128.5</v>
      </c>
      <c r="T103">
        <v>123.8</v>
      </c>
      <c r="U103">
        <v>127.8</v>
      </c>
      <c r="V103">
        <v>122.4</v>
      </c>
      <c r="W103">
        <v>120.8</v>
      </c>
      <c r="X103">
        <v>123</v>
      </c>
      <c r="Y103">
        <v>120.4</v>
      </c>
      <c r="Z103">
        <v>111.4</v>
      </c>
      <c r="AA103">
        <v>118.7</v>
      </c>
      <c r="AB103">
        <v>125.9</v>
      </c>
      <c r="AC103">
        <v>113.9</v>
      </c>
      <c r="AD103">
        <v>117.9</v>
      </c>
      <c r="AE103">
        <v>126.1</v>
      </c>
      <c r="AF103">
        <f t="shared" si="2"/>
        <v>128.90833333333333</v>
      </c>
      <c r="AG103">
        <v>132.5</v>
      </c>
      <c r="AH103">
        <f>AVERAGE(Table1[[#This Row],[Clothing]:[Footwear]])</f>
        <v>126.15</v>
      </c>
      <c r="AI103">
        <v>120.8</v>
      </c>
      <c r="AJ103">
        <v>123</v>
      </c>
      <c r="AK103">
        <v>111.4</v>
      </c>
      <c r="AL103">
        <v>118.7</v>
      </c>
      <c r="AM103" t="str">
        <f t="shared" si="3"/>
        <v>Pre-COVID</v>
      </c>
    </row>
    <row r="104" spans="1:39" x14ac:dyDescent="0.35">
      <c r="A104" t="s">
        <v>30</v>
      </c>
      <c r="B104">
        <v>2015</v>
      </c>
      <c r="C104" t="s">
        <v>45</v>
      </c>
      <c r="D104" s="4">
        <f>DATE(B104,MATCH(C104,{"January","February","March","April","May","June","July","August","September","October","November","December"},0),1)</f>
        <v>42309</v>
      </c>
      <c r="E104">
        <v>126.1</v>
      </c>
      <c r="F104">
        <v>130.6</v>
      </c>
      <c r="G104">
        <v>121.7</v>
      </c>
      <c r="H104">
        <v>129.5</v>
      </c>
      <c r="I104">
        <v>117.8</v>
      </c>
      <c r="J104">
        <v>132.1</v>
      </c>
      <c r="K104">
        <v>155.19999999999999</v>
      </c>
      <c r="L104">
        <v>160.80000000000001</v>
      </c>
      <c r="M104">
        <v>94.5</v>
      </c>
      <c r="N104">
        <v>128.30000000000001</v>
      </c>
      <c r="O104">
        <v>123.1</v>
      </c>
      <c r="P104">
        <v>134.19999999999999</v>
      </c>
      <c r="Q104">
        <v>132.4</v>
      </c>
      <c r="R104">
        <v>132.19999999999999</v>
      </c>
      <c r="S104">
        <v>132.1</v>
      </c>
      <c r="T104">
        <v>128.19999999999999</v>
      </c>
      <c r="U104">
        <v>131.5</v>
      </c>
      <c r="V104">
        <v>122.9</v>
      </c>
      <c r="W104">
        <v>125.6</v>
      </c>
      <c r="X104">
        <v>125.6</v>
      </c>
      <c r="Y104">
        <v>122.6</v>
      </c>
      <c r="Z104">
        <v>114</v>
      </c>
      <c r="AA104">
        <v>120.9</v>
      </c>
      <c r="AB104">
        <v>125.8</v>
      </c>
      <c r="AC104">
        <v>114.2</v>
      </c>
      <c r="AD104">
        <v>119.6</v>
      </c>
      <c r="AE104">
        <v>128.30000000000001</v>
      </c>
      <c r="AF104">
        <f t="shared" si="2"/>
        <v>129.49166666666665</v>
      </c>
      <c r="AG104">
        <v>132.19999999999999</v>
      </c>
      <c r="AH104">
        <f>AVERAGE(Table1[[#This Row],[Clothing]:[Footwear]])</f>
        <v>130.14999999999998</v>
      </c>
      <c r="AI104">
        <v>125.6</v>
      </c>
      <c r="AJ104">
        <v>125.6</v>
      </c>
      <c r="AK104">
        <v>114</v>
      </c>
      <c r="AL104">
        <v>120.9</v>
      </c>
      <c r="AM104" t="str">
        <f t="shared" si="3"/>
        <v>Pre-COVID</v>
      </c>
    </row>
    <row r="105" spans="1:39" x14ac:dyDescent="0.35">
      <c r="A105" t="s">
        <v>33</v>
      </c>
      <c r="B105">
        <v>2015</v>
      </c>
      <c r="C105" t="s">
        <v>45</v>
      </c>
      <c r="D105" s="4">
        <f>DATE(B105,MATCH(C105,{"January","February","March","April","May","June","July","August","September","October","November","December"},0),1)</f>
        <v>42309</v>
      </c>
      <c r="E105">
        <v>124</v>
      </c>
      <c r="F105">
        <v>129.80000000000001</v>
      </c>
      <c r="G105">
        <v>121.5</v>
      </c>
      <c r="H105">
        <v>128.6</v>
      </c>
      <c r="I105">
        <v>110</v>
      </c>
      <c r="J105">
        <v>123.7</v>
      </c>
      <c r="K105">
        <v>164.6</v>
      </c>
      <c r="L105">
        <v>191.6</v>
      </c>
      <c r="M105">
        <v>90.8</v>
      </c>
      <c r="N105">
        <v>137.1</v>
      </c>
      <c r="O105">
        <v>119.8</v>
      </c>
      <c r="P105">
        <v>133.69999999999999</v>
      </c>
      <c r="Q105">
        <v>133.30000000000001</v>
      </c>
      <c r="R105">
        <v>137.6</v>
      </c>
      <c r="S105">
        <v>125</v>
      </c>
      <c r="T105">
        <v>119.3</v>
      </c>
      <c r="U105">
        <v>124.2</v>
      </c>
      <c r="V105">
        <v>122.9</v>
      </c>
      <c r="W105">
        <v>115.1</v>
      </c>
      <c r="X105">
        <v>121</v>
      </c>
      <c r="Y105">
        <v>118.1</v>
      </c>
      <c r="Z105">
        <v>109.3</v>
      </c>
      <c r="AA105">
        <v>117.9</v>
      </c>
      <c r="AB105">
        <v>126.6</v>
      </c>
      <c r="AC105">
        <v>113.3</v>
      </c>
      <c r="AD105">
        <v>116.6</v>
      </c>
      <c r="AE105">
        <v>124.6</v>
      </c>
      <c r="AF105">
        <f t="shared" si="2"/>
        <v>131.26666666666665</v>
      </c>
      <c r="AG105">
        <v>137.6</v>
      </c>
      <c r="AH105">
        <f>AVERAGE(Table1[[#This Row],[Clothing]:[Footwear]])</f>
        <v>122.15</v>
      </c>
      <c r="AI105">
        <v>115.1</v>
      </c>
      <c r="AJ105">
        <v>121</v>
      </c>
      <c r="AK105">
        <v>109.3</v>
      </c>
      <c r="AL105">
        <v>117.9</v>
      </c>
      <c r="AM105" t="str">
        <f t="shared" si="3"/>
        <v>Pre-COVID</v>
      </c>
    </row>
    <row r="106" spans="1:39" x14ac:dyDescent="0.35">
      <c r="A106" t="s">
        <v>34</v>
      </c>
      <c r="B106">
        <v>2015</v>
      </c>
      <c r="C106" t="s">
        <v>45</v>
      </c>
      <c r="D106" s="4">
        <f>DATE(B106,MATCH(C106,{"January","February","March","April","May","June","July","August","September","October","November","December"},0),1)</f>
        <v>42309</v>
      </c>
      <c r="E106">
        <v>125.4</v>
      </c>
      <c r="F106">
        <v>130.30000000000001</v>
      </c>
      <c r="G106">
        <v>121.6</v>
      </c>
      <c r="H106">
        <v>129.19999999999999</v>
      </c>
      <c r="I106">
        <v>114.9</v>
      </c>
      <c r="J106">
        <v>128.19999999999999</v>
      </c>
      <c r="K106">
        <v>158.4</v>
      </c>
      <c r="L106">
        <v>171.2</v>
      </c>
      <c r="M106">
        <v>93.3</v>
      </c>
      <c r="N106">
        <v>131.19999999999999</v>
      </c>
      <c r="O106">
        <v>121.7</v>
      </c>
      <c r="P106">
        <v>134</v>
      </c>
      <c r="Q106">
        <v>132.69999999999999</v>
      </c>
      <c r="R106">
        <v>133.6</v>
      </c>
      <c r="S106">
        <v>129.30000000000001</v>
      </c>
      <c r="T106">
        <v>124.5</v>
      </c>
      <c r="U106">
        <v>128.6</v>
      </c>
      <c r="V106">
        <v>122.9</v>
      </c>
      <c r="W106">
        <v>121.6</v>
      </c>
      <c r="X106">
        <v>123.4</v>
      </c>
      <c r="Y106">
        <v>120.9</v>
      </c>
      <c r="Z106">
        <v>111.5</v>
      </c>
      <c r="AA106">
        <v>119.2</v>
      </c>
      <c r="AB106">
        <v>126.3</v>
      </c>
      <c r="AC106">
        <v>113.8</v>
      </c>
      <c r="AD106">
        <v>118.1</v>
      </c>
      <c r="AE106">
        <v>126.6</v>
      </c>
      <c r="AF106">
        <f t="shared" si="2"/>
        <v>129.94999999999999</v>
      </c>
      <c r="AG106">
        <v>133.6</v>
      </c>
      <c r="AH106">
        <f>AVERAGE(Table1[[#This Row],[Clothing]:[Footwear]])</f>
        <v>126.9</v>
      </c>
      <c r="AI106">
        <v>121.6</v>
      </c>
      <c r="AJ106">
        <v>123.4</v>
      </c>
      <c r="AK106">
        <v>111.5</v>
      </c>
      <c r="AL106">
        <v>119.2</v>
      </c>
      <c r="AM106" t="str">
        <f t="shared" si="3"/>
        <v>Pre-COVID</v>
      </c>
    </row>
    <row r="107" spans="1:39" x14ac:dyDescent="0.35">
      <c r="A107" t="s">
        <v>30</v>
      </c>
      <c r="B107">
        <v>2015</v>
      </c>
      <c r="C107" t="s">
        <v>46</v>
      </c>
      <c r="D107" s="4">
        <f>DATE(B107,MATCH(C107,{"January","February","March","April","May","June","July","August","September","October","November","December"},0),1)</f>
        <v>42339</v>
      </c>
      <c r="E107">
        <v>126.3</v>
      </c>
      <c r="F107">
        <v>131.30000000000001</v>
      </c>
      <c r="G107">
        <v>123.3</v>
      </c>
      <c r="H107">
        <v>129.80000000000001</v>
      </c>
      <c r="I107">
        <v>118.3</v>
      </c>
      <c r="J107">
        <v>131.6</v>
      </c>
      <c r="K107">
        <v>145.5</v>
      </c>
      <c r="L107">
        <v>162.1</v>
      </c>
      <c r="M107">
        <v>95.4</v>
      </c>
      <c r="N107">
        <v>128.9</v>
      </c>
      <c r="O107">
        <v>123.3</v>
      </c>
      <c r="P107">
        <v>135.1</v>
      </c>
      <c r="Q107">
        <v>131.4</v>
      </c>
      <c r="R107">
        <v>133.1</v>
      </c>
      <c r="S107">
        <v>132.5</v>
      </c>
      <c r="T107">
        <v>128.5</v>
      </c>
      <c r="U107">
        <v>131.9</v>
      </c>
      <c r="V107">
        <v>122.4</v>
      </c>
      <c r="W107">
        <v>125.7</v>
      </c>
      <c r="X107">
        <v>126</v>
      </c>
      <c r="Y107">
        <v>123.1</v>
      </c>
      <c r="Z107">
        <v>114</v>
      </c>
      <c r="AA107">
        <v>121.6</v>
      </c>
      <c r="AB107">
        <v>125.6</v>
      </c>
      <c r="AC107">
        <v>114.1</v>
      </c>
      <c r="AD107">
        <v>119.8</v>
      </c>
      <c r="AE107">
        <v>127.9</v>
      </c>
      <c r="AF107">
        <f t="shared" si="2"/>
        <v>129.24166666666667</v>
      </c>
      <c r="AG107">
        <v>133.1</v>
      </c>
      <c r="AH107">
        <f>AVERAGE(Table1[[#This Row],[Clothing]:[Footwear]])</f>
        <v>130.5</v>
      </c>
      <c r="AI107">
        <v>125.7</v>
      </c>
      <c r="AJ107">
        <v>126</v>
      </c>
      <c r="AK107">
        <v>114</v>
      </c>
      <c r="AL107">
        <v>121.6</v>
      </c>
      <c r="AM107" t="str">
        <f t="shared" si="3"/>
        <v>Pre-COVID</v>
      </c>
    </row>
    <row r="108" spans="1:39" x14ac:dyDescent="0.35">
      <c r="A108" t="s">
        <v>33</v>
      </c>
      <c r="B108">
        <v>2015</v>
      </c>
      <c r="C108" t="s">
        <v>46</v>
      </c>
      <c r="D108" s="4">
        <f>DATE(B108,MATCH(C108,{"January","February","March","April","May","June","July","August","September","October","November","December"},0),1)</f>
        <v>42339</v>
      </c>
      <c r="E108">
        <v>124.3</v>
      </c>
      <c r="F108">
        <v>131.69999999999999</v>
      </c>
      <c r="G108">
        <v>127.1</v>
      </c>
      <c r="H108">
        <v>128.6</v>
      </c>
      <c r="I108">
        <v>110</v>
      </c>
      <c r="J108">
        <v>120.8</v>
      </c>
      <c r="K108">
        <v>149</v>
      </c>
      <c r="L108">
        <v>190.1</v>
      </c>
      <c r="M108">
        <v>92.7</v>
      </c>
      <c r="N108">
        <v>138.6</v>
      </c>
      <c r="O108">
        <v>120.2</v>
      </c>
      <c r="P108">
        <v>134.19999999999999</v>
      </c>
      <c r="Q108">
        <v>131.5</v>
      </c>
      <c r="R108">
        <v>138.19999999999999</v>
      </c>
      <c r="S108">
        <v>125.4</v>
      </c>
      <c r="T108">
        <v>119.5</v>
      </c>
      <c r="U108">
        <v>124.5</v>
      </c>
      <c r="V108">
        <v>122.4</v>
      </c>
      <c r="W108">
        <v>116</v>
      </c>
      <c r="X108">
        <v>121</v>
      </c>
      <c r="Y108">
        <v>118.6</v>
      </c>
      <c r="Z108">
        <v>109.3</v>
      </c>
      <c r="AA108">
        <v>118.1</v>
      </c>
      <c r="AB108">
        <v>126.6</v>
      </c>
      <c r="AC108">
        <v>113.2</v>
      </c>
      <c r="AD108">
        <v>116.7</v>
      </c>
      <c r="AE108">
        <v>124</v>
      </c>
      <c r="AF108">
        <f t="shared" si="2"/>
        <v>130.60833333333332</v>
      </c>
      <c r="AG108">
        <v>138.19999999999999</v>
      </c>
      <c r="AH108">
        <f>AVERAGE(Table1[[#This Row],[Clothing]:[Footwear]])</f>
        <v>122.45</v>
      </c>
      <c r="AI108">
        <v>116</v>
      </c>
      <c r="AJ108">
        <v>121</v>
      </c>
      <c r="AK108">
        <v>109.3</v>
      </c>
      <c r="AL108">
        <v>118.1</v>
      </c>
      <c r="AM108" t="str">
        <f t="shared" si="3"/>
        <v>Pre-COVID</v>
      </c>
    </row>
    <row r="109" spans="1:39" x14ac:dyDescent="0.35">
      <c r="A109" t="s">
        <v>34</v>
      </c>
      <c r="B109">
        <v>2015</v>
      </c>
      <c r="C109" t="s">
        <v>46</v>
      </c>
      <c r="D109" s="4">
        <f>DATE(B109,MATCH(C109,{"January","February","March","April","May","June","July","August","September","October","November","December"},0),1)</f>
        <v>42339</v>
      </c>
      <c r="E109">
        <v>125.7</v>
      </c>
      <c r="F109">
        <v>131.4</v>
      </c>
      <c r="G109">
        <v>124.8</v>
      </c>
      <c r="H109">
        <v>129.4</v>
      </c>
      <c r="I109">
        <v>115.3</v>
      </c>
      <c r="J109">
        <v>126.6</v>
      </c>
      <c r="K109">
        <v>146.69999999999999</v>
      </c>
      <c r="L109">
        <v>171.5</v>
      </c>
      <c r="M109">
        <v>94.5</v>
      </c>
      <c r="N109">
        <v>132.1</v>
      </c>
      <c r="O109">
        <v>122</v>
      </c>
      <c r="P109">
        <v>134.69999999999999</v>
      </c>
      <c r="Q109">
        <v>131.4</v>
      </c>
      <c r="R109">
        <v>134.5</v>
      </c>
      <c r="S109">
        <v>129.69999999999999</v>
      </c>
      <c r="T109">
        <v>124.8</v>
      </c>
      <c r="U109">
        <v>129</v>
      </c>
      <c r="V109">
        <v>122.4</v>
      </c>
      <c r="W109">
        <v>122</v>
      </c>
      <c r="X109">
        <v>123.6</v>
      </c>
      <c r="Y109">
        <v>121.4</v>
      </c>
      <c r="Z109">
        <v>111.5</v>
      </c>
      <c r="AA109">
        <v>119.6</v>
      </c>
      <c r="AB109">
        <v>126.2</v>
      </c>
      <c r="AC109">
        <v>113.7</v>
      </c>
      <c r="AD109">
        <v>118.3</v>
      </c>
      <c r="AE109">
        <v>126.1</v>
      </c>
      <c r="AF109">
        <f t="shared" si="2"/>
        <v>129.55833333333334</v>
      </c>
      <c r="AG109">
        <v>134.5</v>
      </c>
      <c r="AH109">
        <f>AVERAGE(Table1[[#This Row],[Clothing]:[Footwear]])</f>
        <v>127.25</v>
      </c>
      <c r="AI109">
        <v>122</v>
      </c>
      <c r="AJ109">
        <v>123.6</v>
      </c>
      <c r="AK109">
        <v>111.5</v>
      </c>
      <c r="AL109">
        <v>119.6</v>
      </c>
      <c r="AM109" t="str">
        <f t="shared" si="3"/>
        <v>Pre-COVID</v>
      </c>
    </row>
    <row r="110" spans="1:39" x14ac:dyDescent="0.35">
      <c r="A110" t="s">
        <v>30</v>
      </c>
      <c r="B110">
        <v>2016</v>
      </c>
      <c r="C110" t="s">
        <v>31</v>
      </c>
      <c r="D110" s="4">
        <f>DATE(B110,MATCH(C110,{"January","February","March","April","May","June","July","August","September","October","November","December"},0),1)</f>
        <v>42370</v>
      </c>
      <c r="E110">
        <v>126.8</v>
      </c>
      <c r="F110">
        <v>133.19999999999999</v>
      </c>
      <c r="G110">
        <v>126.5</v>
      </c>
      <c r="H110">
        <v>130.30000000000001</v>
      </c>
      <c r="I110">
        <v>118.9</v>
      </c>
      <c r="J110">
        <v>131.6</v>
      </c>
      <c r="K110">
        <v>140.1</v>
      </c>
      <c r="L110">
        <v>163.80000000000001</v>
      </c>
      <c r="M110">
        <v>97.7</v>
      </c>
      <c r="N110">
        <v>129.6</v>
      </c>
      <c r="O110">
        <v>124.3</v>
      </c>
      <c r="P110">
        <v>135.9</v>
      </c>
      <c r="Q110">
        <v>131.4</v>
      </c>
      <c r="R110">
        <v>133.6</v>
      </c>
      <c r="S110">
        <v>133.19999999999999</v>
      </c>
      <c r="T110">
        <v>128.9</v>
      </c>
      <c r="U110">
        <v>132.6</v>
      </c>
      <c r="V110">
        <v>123.4</v>
      </c>
      <c r="W110">
        <v>126.2</v>
      </c>
      <c r="X110">
        <v>126.6</v>
      </c>
      <c r="Y110">
        <v>123.7</v>
      </c>
      <c r="Z110">
        <v>113.6</v>
      </c>
      <c r="AA110">
        <v>121.4</v>
      </c>
      <c r="AB110">
        <v>126.2</v>
      </c>
      <c r="AC110">
        <v>114.9</v>
      </c>
      <c r="AD110">
        <v>120.1</v>
      </c>
      <c r="AE110">
        <v>128.1</v>
      </c>
      <c r="AF110">
        <f t="shared" si="2"/>
        <v>129.89166666666668</v>
      </c>
      <c r="AG110">
        <v>133.6</v>
      </c>
      <c r="AH110">
        <f>AVERAGE(Table1[[#This Row],[Clothing]:[Footwear]])</f>
        <v>131.05000000000001</v>
      </c>
      <c r="AI110">
        <v>126.2</v>
      </c>
      <c r="AJ110">
        <v>126.6</v>
      </c>
      <c r="AK110">
        <v>113.6</v>
      </c>
      <c r="AL110">
        <v>121.4</v>
      </c>
      <c r="AM110" t="str">
        <f t="shared" si="3"/>
        <v>Pre-COVID</v>
      </c>
    </row>
    <row r="111" spans="1:39" x14ac:dyDescent="0.35">
      <c r="A111" t="s">
        <v>33</v>
      </c>
      <c r="B111">
        <v>2016</v>
      </c>
      <c r="C111" t="s">
        <v>31</v>
      </c>
      <c r="D111" s="4">
        <f>DATE(B111,MATCH(C111,{"January","February","March","April","May","June","July","August","September","October","November","December"},0),1)</f>
        <v>42370</v>
      </c>
      <c r="E111">
        <v>124.7</v>
      </c>
      <c r="F111">
        <v>135.9</v>
      </c>
      <c r="G111">
        <v>132</v>
      </c>
      <c r="H111">
        <v>129.19999999999999</v>
      </c>
      <c r="I111">
        <v>109.7</v>
      </c>
      <c r="J111">
        <v>119</v>
      </c>
      <c r="K111">
        <v>144.1</v>
      </c>
      <c r="L111">
        <v>184.2</v>
      </c>
      <c r="M111">
        <v>96.7</v>
      </c>
      <c r="N111">
        <v>139.5</v>
      </c>
      <c r="O111">
        <v>120.5</v>
      </c>
      <c r="P111">
        <v>134.69999999999999</v>
      </c>
      <c r="Q111">
        <v>131.19999999999999</v>
      </c>
      <c r="R111">
        <v>139.5</v>
      </c>
      <c r="S111">
        <v>125.8</v>
      </c>
      <c r="T111">
        <v>119.8</v>
      </c>
      <c r="U111">
        <v>124.9</v>
      </c>
      <c r="V111">
        <v>123.4</v>
      </c>
      <c r="W111">
        <v>116.9</v>
      </c>
      <c r="X111">
        <v>121.6</v>
      </c>
      <c r="Y111">
        <v>119.1</v>
      </c>
      <c r="Z111">
        <v>108.9</v>
      </c>
      <c r="AA111">
        <v>118.5</v>
      </c>
      <c r="AB111">
        <v>126.4</v>
      </c>
      <c r="AC111">
        <v>114</v>
      </c>
      <c r="AD111">
        <v>116.8</v>
      </c>
      <c r="AE111">
        <v>124.2</v>
      </c>
      <c r="AF111">
        <f t="shared" si="2"/>
        <v>130.85</v>
      </c>
      <c r="AG111">
        <v>139.5</v>
      </c>
      <c r="AH111">
        <f>AVERAGE(Table1[[#This Row],[Clothing]:[Footwear]])</f>
        <v>122.8</v>
      </c>
      <c r="AI111">
        <v>116.9</v>
      </c>
      <c r="AJ111">
        <v>121.6</v>
      </c>
      <c r="AK111">
        <v>108.9</v>
      </c>
      <c r="AL111">
        <v>118.5</v>
      </c>
      <c r="AM111" t="str">
        <f t="shared" si="3"/>
        <v>Pre-COVID</v>
      </c>
    </row>
    <row r="112" spans="1:39" x14ac:dyDescent="0.35">
      <c r="A112" t="s">
        <v>34</v>
      </c>
      <c r="B112">
        <v>2016</v>
      </c>
      <c r="C112" t="s">
        <v>31</v>
      </c>
      <c r="D112" s="4">
        <f>DATE(B112,MATCH(C112,{"January","February","March","April","May","June","July","August","September","October","November","December"},0),1)</f>
        <v>42370</v>
      </c>
      <c r="E112">
        <v>126.1</v>
      </c>
      <c r="F112">
        <v>134.1</v>
      </c>
      <c r="G112">
        <v>128.6</v>
      </c>
      <c r="H112">
        <v>129.9</v>
      </c>
      <c r="I112">
        <v>115.5</v>
      </c>
      <c r="J112">
        <v>125.7</v>
      </c>
      <c r="K112">
        <v>141.5</v>
      </c>
      <c r="L112">
        <v>170.7</v>
      </c>
      <c r="M112">
        <v>97.4</v>
      </c>
      <c r="N112">
        <v>132.9</v>
      </c>
      <c r="O112">
        <v>122.7</v>
      </c>
      <c r="P112">
        <v>135.30000000000001</v>
      </c>
      <c r="Q112">
        <v>131.30000000000001</v>
      </c>
      <c r="R112">
        <v>135.19999999999999</v>
      </c>
      <c r="S112">
        <v>130.30000000000001</v>
      </c>
      <c r="T112">
        <v>125.1</v>
      </c>
      <c r="U112">
        <v>129.5</v>
      </c>
      <c r="V112">
        <v>123.4</v>
      </c>
      <c r="W112">
        <v>122.7</v>
      </c>
      <c r="X112">
        <v>124.2</v>
      </c>
      <c r="Y112">
        <v>122</v>
      </c>
      <c r="Z112">
        <v>111.1</v>
      </c>
      <c r="AA112">
        <v>119.8</v>
      </c>
      <c r="AB112">
        <v>126.3</v>
      </c>
      <c r="AC112">
        <v>114.5</v>
      </c>
      <c r="AD112">
        <v>118.5</v>
      </c>
      <c r="AE112">
        <v>126.3</v>
      </c>
      <c r="AF112">
        <f t="shared" si="2"/>
        <v>130.03333333333333</v>
      </c>
      <c r="AG112">
        <v>135.19999999999999</v>
      </c>
      <c r="AH112">
        <f>AVERAGE(Table1[[#This Row],[Clothing]:[Footwear]])</f>
        <v>127.7</v>
      </c>
      <c r="AI112">
        <v>122.7</v>
      </c>
      <c r="AJ112">
        <v>124.2</v>
      </c>
      <c r="AK112">
        <v>111.1</v>
      </c>
      <c r="AL112">
        <v>119.8</v>
      </c>
      <c r="AM112" t="str">
        <f t="shared" si="3"/>
        <v>Pre-COVID</v>
      </c>
    </row>
    <row r="113" spans="1:39" x14ac:dyDescent="0.35">
      <c r="A113" t="s">
        <v>30</v>
      </c>
      <c r="B113">
        <v>2016</v>
      </c>
      <c r="C113" t="s">
        <v>35</v>
      </c>
      <c r="D113" s="4">
        <f>DATE(B113,MATCH(C113,{"January","February","March","April","May","June","July","August","September","October","November","December"},0),1)</f>
        <v>42401</v>
      </c>
      <c r="E113">
        <v>127.1</v>
      </c>
      <c r="F113">
        <v>133.69999999999999</v>
      </c>
      <c r="G113">
        <v>127.7</v>
      </c>
      <c r="H113">
        <v>130.69999999999999</v>
      </c>
      <c r="I113">
        <v>118.5</v>
      </c>
      <c r="J113">
        <v>130.4</v>
      </c>
      <c r="K113">
        <v>130.9</v>
      </c>
      <c r="L113">
        <v>162.80000000000001</v>
      </c>
      <c r="M113">
        <v>98.7</v>
      </c>
      <c r="N113">
        <v>130.6</v>
      </c>
      <c r="O113">
        <v>124.8</v>
      </c>
      <c r="P113">
        <v>136.4</v>
      </c>
      <c r="Q113">
        <v>130.30000000000001</v>
      </c>
      <c r="R113">
        <v>134.4</v>
      </c>
      <c r="S113">
        <v>133.9</v>
      </c>
      <c r="T113">
        <v>129.80000000000001</v>
      </c>
      <c r="U113">
        <v>133.4</v>
      </c>
      <c r="V113">
        <v>124.4</v>
      </c>
      <c r="W113">
        <v>127.5</v>
      </c>
      <c r="X113">
        <v>127.1</v>
      </c>
      <c r="Y113">
        <v>124.3</v>
      </c>
      <c r="Z113">
        <v>113.9</v>
      </c>
      <c r="AA113">
        <v>122.3</v>
      </c>
      <c r="AB113">
        <v>127.1</v>
      </c>
      <c r="AC113">
        <v>116.8</v>
      </c>
      <c r="AD113">
        <v>120.9</v>
      </c>
      <c r="AE113">
        <v>127.9</v>
      </c>
      <c r="AF113">
        <f t="shared" si="2"/>
        <v>129.35833333333332</v>
      </c>
      <c r="AG113">
        <v>134.4</v>
      </c>
      <c r="AH113">
        <f>AVERAGE(Table1[[#This Row],[Clothing]:[Footwear]])</f>
        <v>131.85000000000002</v>
      </c>
      <c r="AI113">
        <v>127.5</v>
      </c>
      <c r="AJ113">
        <v>127.1</v>
      </c>
      <c r="AK113">
        <v>113.9</v>
      </c>
      <c r="AL113">
        <v>122.3</v>
      </c>
      <c r="AM113" t="str">
        <f t="shared" si="3"/>
        <v>Pre-COVID</v>
      </c>
    </row>
    <row r="114" spans="1:39" x14ac:dyDescent="0.35">
      <c r="A114" t="s">
        <v>33</v>
      </c>
      <c r="B114">
        <v>2016</v>
      </c>
      <c r="C114" t="s">
        <v>35</v>
      </c>
      <c r="D114" s="4">
        <f>DATE(B114,MATCH(C114,{"January","February","March","April","May","June","July","August","September","October","November","December"},0),1)</f>
        <v>42401</v>
      </c>
      <c r="E114">
        <v>124.8</v>
      </c>
      <c r="F114">
        <v>135.1</v>
      </c>
      <c r="G114">
        <v>130.30000000000001</v>
      </c>
      <c r="H114">
        <v>129.6</v>
      </c>
      <c r="I114">
        <v>108.4</v>
      </c>
      <c r="J114">
        <v>118.6</v>
      </c>
      <c r="K114">
        <v>129.19999999999999</v>
      </c>
      <c r="L114">
        <v>176.4</v>
      </c>
      <c r="M114">
        <v>99.1</v>
      </c>
      <c r="N114">
        <v>139.69999999999999</v>
      </c>
      <c r="O114">
        <v>120.6</v>
      </c>
      <c r="P114">
        <v>135.19999999999999</v>
      </c>
      <c r="Q114">
        <v>129.1</v>
      </c>
      <c r="R114">
        <v>140</v>
      </c>
      <c r="S114">
        <v>126.2</v>
      </c>
      <c r="T114">
        <v>120.1</v>
      </c>
      <c r="U114">
        <v>125.3</v>
      </c>
      <c r="V114">
        <v>124.4</v>
      </c>
      <c r="W114">
        <v>116</v>
      </c>
      <c r="X114">
        <v>121.8</v>
      </c>
      <c r="Y114">
        <v>119.5</v>
      </c>
      <c r="Z114">
        <v>109.1</v>
      </c>
      <c r="AA114">
        <v>118.8</v>
      </c>
      <c r="AB114">
        <v>126.3</v>
      </c>
      <c r="AC114">
        <v>116.2</v>
      </c>
      <c r="AD114">
        <v>117.2</v>
      </c>
      <c r="AE114">
        <v>123.8</v>
      </c>
      <c r="AF114">
        <f t="shared" si="2"/>
        <v>128.91666666666666</v>
      </c>
      <c r="AG114">
        <v>140</v>
      </c>
      <c r="AH114">
        <f>AVERAGE(Table1[[#This Row],[Clothing]:[Footwear]])</f>
        <v>123.15</v>
      </c>
      <c r="AI114">
        <v>116</v>
      </c>
      <c r="AJ114">
        <v>121.8</v>
      </c>
      <c r="AK114">
        <v>109.1</v>
      </c>
      <c r="AL114">
        <v>118.8</v>
      </c>
      <c r="AM114" t="str">
        <f t="shared" si="3"/>
        <v>Pre-COVID</v>
      </c>
    </row>
    <row r="115" spans="1:39" x14ac:dyDescent="0.35">
      <c r="A115" t="s">
        <v>34</v>
      </c>
      <c r="B115">
        <v>2016</v>
      </c>
      <c r="C115" t="s">
        <v>35</v>
      </c>
      <c r="D115" s="4">
        <f>DATE(B115,MATCH(C115,{"January","February","March","April","May","June","July","August","September","October","November","December"},0),1)</f>
        <v>42401</v>
      </c>
      <c r="E115">
        <v>126.4</v>
      </c>
      <c r="F115">
        <v>134.19999999999999</v>
      </c>
      <c r="G115">
        <v>128.69999999999999</v>
      </c>
      <c r="H115">
        <v>130.30000000000001</v>
      </c>
      <c r="I115">
        <v>114.8</v>
      </c>
      <c r="J115">
        <v>124.9</v>
      </c>
      <c r="K115">
        <v>130.30000000000001</v>
      </c>
      <c r="L115">
        <v>167.4</v>
      </c>
      <c r="M115">
        <v>98.8</v>
      </c>
      <c r="N115">
        <v>133.6</v>
      </c>
      <c r="O115">
        <v>123</v>
      </c>
      <c r="P115">
        <v>135.80000000000001</v>
      </c>
      <c r="Q115">
        <v>129.9</v>
      </c>
      <c r="R115">
        <v>135.9</v>
      </c>
      <c r="S115">
        <v>130.9</v>
      </c>
      <c r="T115">
        <v>125.8</v>
      </c>
      <c r="U115">
        <v>130.19999999999999</v>
      </c>
      <c r="V115">
        <v>124.4</v>
      </c>
      <c r="W115">
        <v>123.1</v>
      </c>
      <c r="X115">
        <v>124.6</v>
      </c>
      <c r="Y115">
        <v>122.5</v>
      </c>
      <c r="Z115">
        <v>111.4</v>
      </c>
      <c r="AA115">
        <v>120.3</v>
      </c>
      <c r="AB115">
        <v>126.6</v>
      </c>
      <c r="AC115">
        <v>116.6</v>
      </c>
      <c r="AD115">
        <v>119.1</v>
      </c>
      <c r="AE115">
        <v>126</v>
      </c>
      <c r="AF115">
        <f t="shared" si="2"/>
        <v>129.01666666666665</v>
      </c>
      <c r="AG115">
        <v>135.9</v>
      </c>
      <c r="AH115">
        <f>AVERAGE(Table1[[#This Row],[Clothing]:[Footwear]])</f>
        <v>128.35</v>
      </c>
      <c r="AI115">
        <v>123.1</v>
      </c>
      <c r="AJ115">
        <v>124.6</v>
      </c>
      <c r="AK115">
        <v>111.4</v>
      </c>
      <c r="AL115">
        <v>120.3</v>
      </c>
      <c r="AM115" t="str">
        <f t="shared" si="3"/>
        <v>Pre-COVID</v>
      </c>
    </row>
    <row r="116" spans="1:39" x14ac:dyDescent="0.35">
      <c r="A116" t="s">
        <v>30</v>
      </c>
      <c r="B116">
        <v>2016</v>
      </c>
      <c r="C116" t="s">
        <v>36</v>
      </c>
      <c r="D116" s="4">
        <f>DATE(B116,MATCH(C116,{"January","February","March","April","May","June","July","August","September","October","November","December"},0),1)</f>
        <v>42430</v>
      </c>
      <c r="E116">
        <v>127.3</v>
      </c>
      <c r="F116">
        <v>134.4</v>
      </c>
      <c r="G116">
        <v>125.1</v>
      </c>
      <c r="H116">
        <v>130.5</v>
      </c>
      <c r="I116">
        <v>118.3</v>
      </c>
      <c r="J116">
        <v>131.69999999999999</v>
      </c>
      <c r="K116">
        <v>130.69999999999999</v>
      </c>
      <c r="L116">
        <v>161.19999999999999</v>
      </c>
      <c r="M116">
        <v>100.4</v>
      </c>
      <c r="N116">
        <v>130.80000000000001</v>
      </c>
      <c r="O116">
        <v>124.9</v>
      </c>
      <c r="P116">
        <v>137</v>
      </c>
      <c r="Q116">
        <v>130.4</v>
      </c>
      <c r="R116">
        <v>135</v>
      </c>
      <c r="S116">
        <v>134.4</v>
      </c>
      <c r="T116">
        <v>130.19999999999999</v>
      </c>
      <c r="U116">
        <v>133.80000000000001</v>
      </c>
      <c r="V116">
        <v>124.9</v>
      </c>
      <c r="W116">
        <v>127</v>
      </c>
      <c r="X116">
        <v>127.7</v>
      </c>
      <c r="Y116">
        <v>124.8</v>
      </c>
      <c r="Z116">
        <v>113.6</v>
      </c>
      <c r="AA116">
        <v>122.5</v>
      </c>
      <c r="AB116">
        <v>127.5</v>
      </c>
      <c r="AC116">
        <v>117.4</v>
      </c>
      <c r="AD116">
        <v>121.1</v>
      </c>
      <c r="AE116">
        <v>128</v>
      </c>
      <c r="AF116">
        <f t="shared" si="2"/>
        <v>129.35833333333335</v>
      </c>
      <c r="AG116">
        <v>135</v>
      </c>
      <c r="AH116">
        <f>AVERAGE(Table1[[#This Row],[Clothing]:[Footwear]])</f>
        <v>132.30000000000001</v>
      </c>
      <c r="AI116">
        <v>127</v>
      </c>
      <c r="AJ116">
        <v>127.7</v>
      </c>
      <c r="AK116">
        <v>113.6</v>
      </c>
      <c r="AL116">
        <v>122.5</v>
      </c>
      <c r="AM116" t="str">
        <f t="shared" si="3"/>
        <v>Pre-COVID</v>
      </c>
    </row>
    <row r="117" spans="1:39" x14ac:dyDescent="0.35">
      <c r="A117" t="s">
        <v>33</v>
      </c>
      <c r="B117">
        <v>2016</v>
      </c>
      <c r="C117" t="s">
        <v>36</v>
      </c>
      <c r="D117" s="4">
        <f>DATE(B117,MATCH(C117,{"January","February","March","April","May","June","July","August","September","October","November","December"},0),1)</f>
        <v>42430</v>
      </c>
      <c r="E117">
        <v>124.8</v>
      </c>
      <c r="F117">
        <v>136.30000000000001</v>
      </c>
      <c r="G117">
        <v>123.7</v>
      </c>
      <c r="H117">
        <v>129.69999999999999</v>
      </c>
      <c r="I117">
        <v>107.9</v>
      </c>
      <c r="J117">
        <v>119.9</v>
      </c>
      <c r="K117">
        <v>128.1</v>
      </c>
      <c r="L117">
        <v>170.3</v>
      </c>
      <c r="M117">
        <v>101.8</v>
      </c>
      <c r="N117">
        <v>140.1</v>
      </c>
      <c r="O117">
        <v>120.7</v>
      </c>
      <c r="P117">
        <v>135.4</v>
      </c>
      <c r="Q117">
        <v>128.9</v>
      </c>
      <c r="R117">
        <v>140.6</v>
      </c>
      <c r="S117">
        <v>126.4</v>
      </c>
      <c r="T117">
        <v>120.3</v>
      </c>
      <c r="U117">
        <v>125.5</v>
      </c>
      <c r="V117">
        <v>124.9</v>
      </c>
      <c r="W117">
        <v>114.8</v>
      </c>
      <c r="X117">
        <v>122.3</v>
      </c>
      <c r="Y117">
        <v>119.7</v>
      </c>
      <c r="Z117">
        <v>108.5</v>
      </c>
      <c r="AA117">
        <v>119.1</v>
      </c>
      <c r="AB117">
        <v>126.4</v>
      </c>
      <c r="AC117">
        <v>117.1</v>
      </c>
      <c r="AD117">
        <v>117.3</v>
      </c>
      <c r="AE117">
        <v>123.8</v>
      </c>
      <c r="AF117">
        <f t="shared" si="2"/>
        <v>128.22499999999999</v>
      </c>
      <c r="AG117">
        <v>140.6</v>
      </c>
      <c r="AH117">
        <f>AVERAGE(Table1[[#This Row],[Clothing]:[Footwear]])</f>
        <v>123.35</v>
      </c>
      <c r="AI117">
        <v>114.8</v>
      </c>
      <c r="AJ117">
        <v>122.3</v>
      </c>
      <c r="AK117">
        <v>108.5</v>
      </c>
      <c r="AL117">
        <v>119.1</v>
      </c>
      <c r="AM117" t="str">
        <f t="shared" si="3"/>
        <v>Pre-COVID</v>
      </c>
    </row>
    <row r="118" spans="1:39" x14ac:dyDescent="0.35">
      <c r="A118" t="s">
        <v>34</v>
      </c>
      <c r="B118">
        <v>2016</v>
      </c>
      <c r="C118" t="s">
        <v>36</v>
      </c>
      <c r="D118" s="4">
        <f>DATE(B118,MATCH(C118,{"January","February","March","April","May","June","July","August","September","October","November","December"},0),1)</f>
        <v>42430</v>
      </c>
      <c r="E118">
        <v>126.5</v>
      </c>
      <c r="F118">
        <v>135.1</v>
      </c>
      <c r="G118">
        <v>124.6</v>
      </c>
      <c r="H118">
        <v>130.19999999999999</v>
      </c>
      <c r="I118">
        <v>114.5</v>
      </c>
      <c r="J118">
        <v>126.2</v>
      </c>
      <c r="K118">
        <v>129.80000000000001</v>
      </c>
      <c r="L118">
        <v>164.3</v>
      </c>
      <c r="M118">
        <v>100.9</v>
      </c>
      <c r="N118">
        <v>133.9</v>
      </c>
      <c r="O118">
        <v>123.1</v>
      </c>
      <c r="P118">
        <v>136.30000000000001</v>
      </c>
      <c r="Q118">
        <v>129.80000000000001</v>
      </c>
      <c r="R118">
        <v>136.5</v>
      </c>
      <c r="S118">
        <v>131.30000000000001</v>
      </c>
      <c r="T118">
        <v>126.1</v>
      </c>
      <c r="U118">
        <v>130.5</v>
      </c>
      <c r="V118">
        <v>124.9</v>
      </c>
      <c r="W118">
        <v>122.4</v>
      </c>
      <c r="X118">
        <v>125.1</v>
      </c>
      <c r="Y118">
        <v>122.9</v>
      </c>
      <c r="Z118">
        <v>110.9</v>
      </c>
      <c r="AA118">
        <v>120.6</v>
      </c>
      <c r="AB118">
        <v>126.9</v>
      </c>
      <c r="AC118">
        <v>117.3</v>
      </c>
      <c r="AD118">
        <v>119.3</v>
      </c>
      <c r="AE118">
        <v>126</v>
      </c>
      <c r="AF118">
        <f t="shared" si="2"/>
        <v>128.78333333333333</v>
      </c>
      <c r="AG118">
        <v>136.5</v>
      </c>
      <c r="AH118">
        <f>AVERAGE(Table1[[#This Row],[Clothing]:[Footwear]])</f>
        <v>128.69999999999999</v>
      </c>
      <c r="AI118">
        <v>122.4</v>
      </c>
      <c r="AJ118">
        <v>125.1</v>
      </c>
      <c r="AK118">
        <v>110.9</v>
      </c>
      <c r="AL118">
        <v>120.6</v>
      </c>
      <c r="AM118" t="str">
        <f t="shared" si="3"/>
        <v>Pre-COVID</v>
      </c>
    </row>
    <row r="119" spans="1:39" x14ac:dyDescent="0.35">
      <c r="A119" t="s">
        <v>30</v>
      </c>
      <c r="B119">
        <v>2016</v>
      </c>
      <c r="C119" t="s">
        <v>37</v>
      </c>
      <c r="D119" s="4">
        <f>DATE(B119,MATCH(C119,{"January","February","March","April","May","June","July","August","September","October","November","December"},0),1)</f>
        <v>42461</v>
      </c>
      <c r="E119">
        <v>127.4</v>
      </c>
      <c r="F119">
        <v>135.4</v>
      </c>
      <c r="G119">
        <v>123.4</v>
      </c>
      <c r="H119">
        <v>131.30000000000001</v>
      </c>
      <c r="I119">
        <v>118.2</v>
      </c>
      <c r="J119">
        <v>138.1</v>
      </c>
      <c r="K119">
        <v>134.1</v>
      </c>
      <c r="L119">
        <v>162.69999999999999</v>
      </c>
      <c r="M119">
        <v>105</v>
      </c>
      <c r="N119">
        <v>131.4</v>
      </c>
      <c r="O119">
        <v>125.4</v>
      </c>
      <c r="P119">
        <v>137.4</v>
      </c>
      <c r="Q119">
        <v>131.80000000000001</v>
      </c>
      <c r="R119">
        <v>135.5</v>
      </c>
      <c r="S119">
        <v>135</v>
      </c>
      <c r="T119">
        <v>130.6</v>
      </c>
      <c r="U119">
        <v>134.4</v>
      </c>
      <c r="V119">
        <v>125.6</v>
      </c>
      <c r="W119">
        <v>127</v>
      </c>
      <c r="X119">
        <v>128</v>
      </c>
      <c r="Y119">
        <v>125.2</v>
      </c>
      <c r="Z119">
        <v>114.4</v>
      </c>
      <c r="AA119">
        <v>123.2</v>
      </c>
      <c r="AB119">
        <v>127.9</v>
      </c>
      <c r="AC119">
        <v>118.4</v>
      </c>
      <c r="AD119">
        <v>121.7</v>
      </c>
      <c r="AE119">
        <v>129</v>
      </c>
      <c r="AF119">
        <f t="shared" si="2"/>
        <v>130.81666666666669</v>
      </c>
      <c r="AG119">
        <v>135.5</v>
      </c>
      <c r="AH119">
        <f>AVERAGE(Table1[[#This Row],[Clothing]:[Footwear]])</f>
        <v>132.80000000000001</v>
      </c>
      <c r="AI119">
        <v>127</v>
      </c>
      <c r="AJ119">
        <v>128</v>
      </c>
      <c r="AK119">
        <v>114.4</v>
      </c>
      <c r="AL119">
        <v>123.2</v>
      </c>
      <c r="AM119" t="str">
        <f t="shared" si="3"/>
        <v>Pre-COVID</v>
      </c>
    </row>
    <row r="120" spans="1:39" x14ac:dyDescent="0.35">
      <c r="A120" t="s">
        <v>33</v>
      </c>
      <c r="B120">
        <v>2016</v>
      </c>
      <c r="C120" t="s">
        <v>37</v>
      </c>
      <c r="D120" s="4">
        <f>DATE(B120,MATCH(C120,{"January","February","March","April","May","June","July","August","September","October","November","December"},0),1)</f>
        <v>42461</v>
      </c>
      <c r="E120">
        <v>124.9</v>
      </c>
      <c r="F120">
        <v>139.30000000000001</v>
      </c>
      <c r="G120">
        <v>119.9</v>
      </c>
      <c r="H120">
        <v>130.19999999999999</v>
      </c>
      <c r="I120">
        <v>108.9</v>
      </c>
      <c r="J120">
        <v>131.1</v>
      </c>
      <c r="K120">
        <v>136.80000000000001</v>
      </c>
      <c r="L120">
        <v>176.9</v>
      </c>
      <c r="M120">
        <v>109.1</v>
      </c>
      <c r="N120">
        <v>140.4</v>
      </c>
      <c r="O120">
        <v>121.1</v>
      </c>
      <c r="P120">
        <v>135.9</v>
      </c>
      <c r="Q120">
        <v>131.80000000000001</v>
      </c>
      <c r="R120">
        <v>141.5</v>
      </c>
      <c r="S120">
        <v>126.8</v>
      </c>
      <c r="T120">
        <v>120.5</v>
      </c>
      <c r="U120">
        <v>125.8</v>
      </c>
      <c r="V120">
        <v>125.6</v>
      </c>
      <c r="W120">
        <v>114.6</v>
      </c>
      <c r="X120">
        <v>122.8</v>
      </c>
      <c r="Y120">
        <v>120</v>
      </c>
      <c r="Z120">
        <v>110</v>
      </c>
      <c r="AA120">
        <v>119.5</v>
      </c>
      <c r="AB120">
        <v>127.6</v>
      </c>
      <c r="AC120">
        <v>117.6</v>
      </c>
      <c r="AD120">
        <v>118.2</v>
      </c>
      <c r="AE120">
        <v>125.3</v>
      </c>
      <c r="AF120">
        <f t="shared" si="2"/>
        <v>131.20833333333334</v>
      </c>
      <c r="AG120">
        <v>141.5</v>
      </c>
      <c r="AH120">
        <f>AVERAGE(Table1[[#This Row],[Clothing]:[Footwear]])</f>
        <v>123.65</v>
      </c>
      <c r="AI120">
        <v>114.6</v>
      </c>
      <c r="AJ120">
        <v>122.8</v>
      </c>
      <c r="AK120">
        <v>110</v>
      </c>
      <c r="AL120">
        <v>119.5</v>
      </c>
      <c r="AM120" t="str">
        <f t="shared" si="3"/>
        <v>Pre-COVID</v>
      </c>
    </row>
    <row r="121" spans="1:39" x14ac:dyDescent="0.35">
      <c r="A121" t="s">
        <v>34</v>
      </c>
      <c r="B121">
        <v>2016</v>
      </c>
      <c r="C121" t="s">
        <v>37</v>
      </c>
      <c r="D121" s="4">
        <f>DATE(B121,MATCH(C121,{"January","February","March","April","May","June","July","August","September","October","November","December"},0),1)</f>
        <v>42461</v>
      </c>
      <c r="E121">
        <v>126.6</v>
      </c>
      <c r="F121">
        <v>136.80000000000001</v>
      </c>
      <c r="G121">
        <v>122</v>
      </c>
      <c r="H121">
        <v>130.9</v>
      </c>
      <c r="I121">
        <v>114.8</v>
      </c>
      <c r="J121">
        <v>134.80000000000001</v>
      </c>
      <c r="K121">
        <v>135</v>
      </c>
      <c r="L121">
        <v>167.5</v>
      </c>
      <c r="M121">
        <v>106.4</v>
      </c>
      <c r="N121">
        <v>134.4</v>
      </c>
      <c r="O121">
        <v>123.6</v>
      </c>
      <c r="P121">
        <v>136.69999999999999</v>
      </c>
      <c r="Q121">
        <v>131.80000000000001</v>
      </c>
      <c r="R121">
        <v>137.1</v>
      </c>
      <c r="S121">
        <v>131.80000000000001</v>
      </c>
      <c r="T121">
        <v>126.4</v>
      </c>
      <c r="U121">
        <v>131</v>
      </c>
      <c r="V121">
        <v>125.6</v>
      </c>
      <c r="W121">
        <v>122.3</v>
      </c>
      <c r="X121">
        <v>125.5</v>
      </c>
      <c r="Y121">
        <v>123.2</v>
      </c>
      <c r="Z121">
        <v>112.1</v>
      </c>
      <c r="AA121">
        <v>121.1</v>
      </c>
      <c r="AB121">
        <v>127.7</v>
      </c>
      <c r="AC121">
        <v>118.1</v>
      </c>
      <c r="AD121">
        <v>120</v>
      </c>
      <c r="AE121">
        <v>127.3</v>
      </c>
      <c r="AF121">
        <f t="shared" si="2"/>
        <v>130.79166666666666</v>
      </c>
      <c r="AG121">
        <v>137.1</v>
      </c>
      <c r="AH121">
        <f>AVERAGE(Table1[[#This Row],[Clothing]:[Footwear]])</f>
        <v>129.10000000000002</v>
      </c>
      <c r="AI121">
        <v>122.3</v>
      </c>
      <c r="AJ121">
        <v>125.5</v>
      </c>
      <c r="AK121">
        <v>112.1</v>
      </c>
      <c r="AL121">
        <v>121.1</v>
      </c>
      <c r="AM121" t="str">
        <f t="shared" si="3"/>
        <v>Pre-COVID</v>
      </c>
    </row>
    <row r="122" spans="1:39" x14ac:dyDescent="0.35">
      <c r="A122" t="s">
        <v>30</v>
      </c>
      <c r="B122">
        <v>2016</v>
      </c>
      <c r="C122" t="s">
        <v>38</v>
      </c>
      <c r="D122" s="4">
        <f>DATE(B122,MATCH(C122,{"January","February","March","April","May","June","July","August","September","October","November","December"},0),1)</f>
        <v>42491</v>
      </c>
      <c r="E122">
        <v>127.6</v>
      </c>
      <c r="F122">
        <v>137.5</v>
      </c>
      <c r="G122">
        <v>124.4</v>
      </c>
      <c r="H122">
        <v>132.4</v>
      </c>
      <c r="I122">
        <v>118.2</v>
      </c>
      <c r="J122">
        <v>138.1</v>
      </c>
      <c r="K122">
        <v>141.80000000000001</v>
      </c>
      <c r="L122">
        <v>166</v>
      </c>
      <c r="M122">
        <v>107.5</v>
      </c>
      <c r="N122">
        <v>132.19999999999999</v>
      </c>
      <c r="O122">
        <v>126.1</v>
      </c>
      <c r="P122">
        <v>138.30000000000001</v>
      </c>
      <c r="Q122">
        <v>133.6</v>
      </c>
      <c r="R122">
        <v>136</v>
      </c>
      <c r="S122">
        <v>135.4</v>
      </c>
      <c r="T122">
        <v>131.1</v>
      </c>
      <c r="U122">
        <v>134.80000000000001</v>
      </c>
      <c r="V122">
        <v>126</v>
      </c>
      <c r="W122">
        <v>127.4</v>
      </c>
      <c r="X122">
        <v>128.5</v>
      </c>
      <c r="Y122">
        <v>125.8</v>
      </c>
      <c r="Z122">
        <v>115.1</v>
      </c>
      <c r="AA122">
        <v>123.6</v>
      </c>
      <c r="AB122">
        <v>129.1</v>
      </c>
      <c r="AC122">
        <v>119.7</v>
      </c>
      <c r="AD122">
        <v>122.5</v>
      </c>
      <c r="AE122">
        <v>130.30000000000001</v>
      </c>
      <c r="AF122">
        <f t="shared" si="2"/>
        <v>132.50833333333333</v>
      </c>
      <c r="AG122">
        <v>136</v>
      </c>
      <c r="AH122">
        <f>AVERAGE(Table1[[#This Row],[Clothing]:[Footwear]])</f>
        <v>133.25</v>
      </c>
      <c r="AI122">
        <v>127.4</v>
      </c>
      <c r="AJ122">
        <v>128.5</v>
      </c>
      <c r="AK122">
        <v>115.1</v>
      </c>
      <c r="AL122">
        <v>123.6</v>
      </c>
      <c r="AM122" t="str">
        <f t="shared" si="3"/>
        <v>Pre-COVID</v>
      </c>
    </row>
    <row r="123" spans="1:39" x14ac:dyDescent="0.35">
      <c r="A123" t="s">
        <v>33</v>
      </c>
      <c r="B123">
        <v>2016</v>
      </c>
      <c r="C123" t="s">
        <v>38</v>
      </c>
      <c r="D123" s="4">
        <f>DATE(B123,MATCH(C123,{"January","February","March","April","May","June","July","August","September","October","November","December"},0),1)</f>
        <v>42491</v>
      </c>
      <c r="E123">
        <v>125</v>
      </c>
      <c r="F123">
        <v>142.1</v>
      </c>
      <c r="G123">
        <v>127</v>
      </c>
      <c r="H123">
        <v>130.4</v>
      </c>
      <c r="I123">
        <v>109.6</v>
      </c>
      <c r="J123">
        <v>133.5</v>
      </c>
      <c r="K123">
        <v>151.4</v>
      </c>
      <c r="L123">
        <v>182.8</v>
      </c>
      <c r="M123">
        <v>111.1</v>
      </c>
      <c r="N123">
        <v>141.5</v>
      </c>
      <c r="O123">
        <v>121.5</v>
      </c>
      <c r="P123">
        <v>136.30000000000001</v>
      </c>
      <c r="Q123">
        <v>134.6</v>
      </c>
      <c r="R123">
        <v>142.19999999999999</v>
      </c>
      <c r="S123">
        <v>127.2</v>
      </c>
      <c r="T123">
        <v>120.7</v>
      </c>
      <c r="U123">
        <v>126.2</v>
      </c>
      <c r="V123">
        <v>126</v>
      </c>
      <c r="W123">
        <v>115</v>
      </c>
      <c r="X123">
        <v>123.2</v>
      </c>
      <c r="Y123">
        <v>120.3</v>
      </c>
      <c r="Z123">
        <v>110.7</v>
      </c>
      <c r="AA123">
        <v>119.8</v>
      </c>
      <c r="AB123">
        <v>128</v>
      </c>
      <c r="AC123">
        <v>118.5</v>
      </c>
      <c r="AD123">
        <v>118.7</v>
      </c>
      <c r="AE123">
        <v>126.6</v>
      </c>
      <c r="AF123">
        <f t="shared" si="2"/>
        <v>134.35</v>
      </c>
      <c r="AG123">
        <v>142.19999999999999</v>
      </c>
      <c r="AH123">
        <f>AVERAGE(Table1[[#This Row],[Clothing]:[Footwear]])</f>
        <v>123.95</v>
      </c>
      <c r="AI123">
        <v>115</v>
      </c>
      <c r="AJ123">
        <v>123.2</v>
      </c>
      <c r="AK123">
        <v>110.7</v>
      </c>
      <c r="AL123">
        <v>119.8</v>
      </c>
      <c r="AM123" t="str">
        <f t="shared" si="3"/>
        <v>Pre-COVID</v>
      </c>
    </row>
    <row r="124" spans="1:39" x14ac:dyDescent="0.35">
      <c r="A124" t="s">
        <v>34</v>
      </c>
      <c r="B124">
        <v>2016</v>
      </c>
      <c r="C124" t="s">
        <v>38</v>
      </c>
      <c r="D124" s="4">
        <f>DATE(B124,MATCH(C124,{"January","February","March","April","May","June","July","August","September","October","November","December"},0),1)</f>
        <v>42491</v>
      </c>
      <c r="E124">
        <v>126.8</v>
      </c>
      <c r="F124">
        <v>139.1</v>
      </c>
      <c r="G124">
        <v>125.4</v>
      </c>
      <c r="H124">
        <v>131.69999999999999</v>
      </c>
      <c r="I124">
        <v>115</v>
      </c>
      <c r="J124">
        <v>136</v>
      </c>
      <c r="K124">
        <v>145.1</v>
      </c>
      <c r="L124">
        <v>171.7</v>
      </c>
      <c r="M124">
        <v>108.7</v>
      </c>
      <c r="N124">
        <v>135.30000000000001</v>
      </c>
      <c r="O124">
        <v>124.2</v>
      </c>
      <c r="P124">
        <v>137.4</v>
      </c>
      <c r="Q124">
        <v>134</v>
      </c>
      <c r="R124">
        <v>137.69999999999999</v>
      </c>
      <c r="S124">
        <v>132.19999999999999</v>
      </c>
      <c r="T124">
        <v>126.8</v>
      </c>
      <c r="U124">
        <v>131.4</v>
      </c>
      <c r="V124">
        <v>126</v>
      </c>
      <c r="W124">
        <v>122.7</v>
      </c>
      <c r="X124">
        <v>126</v>
      </c>
      <c r="Y124">
        <v>123.7</v>
      </c>
      <c r="Z124">
        <v>112.8</v>
      </c>
      <c r="AA124">
        <v>121.5</v>
      </c>
      <c r="AB124">
        <v>128.5</v>
      </c>
      <c r="AC124">
        <v>119.2</v>
      </c>
      <c r="AD124">
        <v>120.7</v>
      </c>
      <c r="AE124">
        <v>128.6</v>
      </c>
      <c r="AF124">
        <f t="shared" si="2"/>
        <v>133.03333333333333</v>
      </c>
      <c r="AG124">
        <v>137.69999999999999</v>
      </c>
      <c r="AH124">
        <f>AVERAGE(Table1[[#This Row],[Clothing]:[Footwear]])</f>
        <v>129.5</v>
      </c>
      <c r="AI124">
        <v>122.7</v>
      </c>
      <c r="AJ124">
        <v>126</v>
      </c>
      <c r="AK124">
        <v>112.8</v>
      </c>
      <c r="AL124">
        <v>121.5</v>
      </c>
      <c r="AM124" t="str">
        <f t="shared" si="3"/>
        <v>Pre-COVID</v>
      </c>
    </row>
    <row r="125" spans="1:39" x14ac:dyDescent="0.35">
      <c r="A125" t="s">
        <v>30</v>
      </c>
      <c r="B125">
        <v>2016</v>
      </c>
      <c r="C125" t="s">
        <v>39</v>
      </c>
      <c r="D125" s="4">
        <f>DATE(B125,MATCH(C125,{"January","February","March","April","May","June","July","August","September","October","November","December"},0),1)</f>
        <v>42522</v>
      </c>
      <c r="E125">
        <v>128.6</v>
      </c>
      <c r="F125">
        <v>138.6</v>
      </c>
      <c r="G125">
        <v>126.6</v>
      </c>
      <c r="H125">
        <v>133.6</v>
      </c>
      <c r="I125">
        <v>118.6</v>
      </c>
      <c r="J125">
        <v>137.4</v>
      </c>
      <c r="K125">
        <v>152.5</v>
      </c>
      <c r="L125">
        <v>169.2</v>
      </c>
      <c r="M125">
        <v>108.8</v>
      </c>
      <c r="N125">
        <v>133.1</v>
      </c>
      <c r="O125">
        <v>126.4</v>
      </c>
      <c r="P125">
        <v>139.19999999999999</v>
      </c>
      <c r="Q125">
        <v>136</v>
      </c>
      <c r="R125">
        <v>137.19999999999999</v>
      </c>
      <c r="S125">
        <v>136.30000000000001</v>
      </c>
      <c r="T125">
        <v>131.6</v>
      </c>
      <c r="U125">
        <v>135.6</v>
      </c>
      <c r="V125">
        <v>125.5</v>
      </c>
      <c r="W125">
        <v>128</v>
      </c>
      <c r="X125">
        <v>129.30000000000001</v>
      </c>
      <c r="Y125">
        <v>126.2</v>
      </c>
      <c r="Z125">
        <v>116.3</v>
      </c>
      <c r="AA125">
        <v>124.1</v>
      </c>
      <c r="AB125">
        <v>130.19999999999999</v>
      </c>
      <c r="AC125">
        <v>119.9</v>
      </c>
      <c r="AD125">
        <v>123.3</v>
      </c>
      <c r="AE125">
        <v>131.9</v>
      </c>
      <c r="AF125">
        <f t="shared" si="2"/>
        <v>134.38333333333333</v>
      </c>
      <c r="AG125">
        <v>137.19999999999999</v>
      </c>
      <c r="AH125">
        <f>AVERAGE(Table1[[#This Row],[Clothing]:[Footwear]])</f>
        <v>133.94999999999999</v>
      </c>
      <c r="AI125">
        <v>128</v>
      </c>
      <c r="AJ125">
        <v>129.30000000000001</v>
      </c>
      <c r="AK125">
        <v>116.3</v>
      </c>
      <c r="AL125">
        <v>124.1</v>
      </c>
      <c r="AM125" t="str">
        <f t="shared" si="3"/>
        <v>Pre-COVID</v>
      </c>
    </row>
    <row r="126" spans="1:39" x14ac:dyDescent="0.35">
      <c r="A126" t="s">
        <v>33</v>
      </c>
      <c r="B126">
        <v>2016</v>
      </c>
      <c r="C126" t="s">
        <v>39</v>
      </c>
      <c r="D126" s="4">
        <f>DATE(B126,MATCH(C126,{"January","February","March","April","May","June","July","August","September","October","November","December"},0),1)</f>
        <v>42522</v>
      </c>
      <c r="E126">
        <v>125.9</v>
      </c>
      <c r="F126">
        <v>143.9</v>
      </c>
      <c r="G126">
        <v>130.9</v>
      </c>
      <c r="H126">
        <v>131</v>
      </c>
      <c r="I126">
        <v>110.2</v>
      </c>
      <c r="J126">
        <v>135.5</v>
      </c>
      <c r="K126">
        <v>173.7</v>
      </c>
      <c r="L126">
        <v>184.4</v>
      </c>
      <c r="M126">
        <v>112</v>
      </c>
      <c r="N126">
        <v>142.80000000000001</v>
      </c>
      <c r="O126">
        <v>121.6</v>
      </c>
      <c r="P126">
        <v>136.9</v>
      </c>
      <c r="Q126">
        <v>138.19999999999999</v>
      </c>
      <c r="R126">
        <v>142.69999999999999</v>
      </c>
      <c r="S126">
        <v>127.6</v>
      </c>
      <c r="T126">
        <v>121.1</v>
      </c>
      <c r="U126">
        <v>126.6</v>
      </c>
      <c r="V126">
        <v>125.5</v>
      </c>
      <c r="W126">
        <v>115.5</v>
      </c>
      <c r="X126">
        <v>123.2</v>
      </c>
      <c r="Y126">
        <v>120.6</v>
      </c>
      <c r="Z126">
        <v>112.3</v>
      </c>
      <c r="AA126">
        <v>119.9</v>
      </c>
      <c r="AB126">
        <v>129.30000000000001</v>
      </c>
      <c r="AC126">
        <v>118.8</v>
      </c>
      <c r="AD126">
        <v>119.6</v>
      </c>
      <c r="AE126">
        <v>128.1</v>
      </c>
      <c r="AF126">
        <f t="shared" si="2"/>
        <v>137.4</v>
      </c>
      <c r="AG126">
        <v>142.69999999999999</v>
      </c>
      <c r="AH126">
        <f>AVERAGE(Table1[[#This Row],[Clothing]:[Footwear]])</f>
        <v>124.35</v>
      </c>
      <c r="AI126">
        <v>115.5</v>
      </c>
      <c r="AJ126">
        <v>123.2</v>
      </c>
      <c r="AK126">
        <v>112.3</v>
      </c>
      <c r="AL126">
        <v>119.9</v>
      </c>
      <c r="AM126" t="str">
        <f t="shared" si="3"/>
        <v>Pre-COVID</v>
      </c>
    </row>
    <row r="127" spans="1:39" x14ac:dyDescent="0.35">
      <c r="A127" t="s">
        <v>34</v>
      </c>
      <c r="B127">
        <v>2016</v>
      </c>
      <c r="C127" t="s">
        <v>39</v>
      </c>
      <c r="D127" s="4">
        <f>DATE(B127,MATCH(C127,{"January","February","March","April","May","June","July","August","September","October","November","December"},0),1)</f>
        <v>42522</v>
      </c>
      <c r="E127">
        <v>127.7</v>
      </c>
      <c r="F127">
        <v>140.5</v>
      </c>
      <c r="G127">
        <v>128.30000000000001</v>
      </c>
      <c r="H127">
        <v>132.6</v>
      </c>
      <c r="I127">
        <v>115.5</v>
      </c>
      <c r="J127">
        <v>136.5</v>
      </c>
      <c r="K127">
        <v>159.69999999999999</v>
      </c>
      <c r="L127">
        <v>174.3</v>
      </c>
      <c r="M127">
        <v>109.9</v>
      </c>
      <c r="N127">
        <v>136.30000000000001</v>
      </c>
      <c r="O127">
        <v>124.4</v>
      </c>
      <c r="P127">
        <v>138.1</v>
      </c>
      <c r="Q127">
        <v>136.80000000000001</v>
      </c>
      <c r="R127">
        <v>138.69999999999999</v>
      </c>
      <c r="S127">
        <v>132.9</v>
      </c>
      <c r="T127">
        <v>127.2</v>
      </c>
      <c r="U127">
        <v>132</v>
      </c>
      <c r="V127">
        <v>125.5</v>
      </c>
      <c r="W127">
        <v>123.3</v>
      </c>
      <c r="X127">
        <v>126.4</v>
      </c>
      <c r="Y127">
        <v>124.1</v>
      </c>
      <c r="Z127">
        <v>114.2</v>
      </c>
      <c r="AA127">
        <v>121.7</v>
      </c>
      <c r="AB127">
        <v>129.69999999999999</v>
      </c>
      <c r="AC127">
        <v>119.4</v>
      </c>
      <c r="AD127">
        <v>121.5</v>
      </c>
      <c r="AE127">
        <v>130.1</v>
      </c>
      <c r="AF127">
        <f t="shared" si="2"/>
        <v>135.31666666666666</v>
      </c>
      <c r="AG127">
        <v>138.69999999999999</v>
      </c>
      <c r="AH127">
        <f>AVERAGE(Table1[[#This Row],[Clothing]:[Footwear]])</f>
        <v>130.05000000000001</v>
      </c>
      <c r="AI127">
        <v>123.3</v>
      </c>
      <c r="AJ127">
        <v>126.4</v>
      </c>
      <c r="AK127">
        <v>114.2</v>
      </c>
      <c r="AL127">
        <v>121.7</v>
      </c>
      <c r="AM127" t="str">
        <f t="shared" si="3"/>
        <v>Pre-COVID</v>
      </c>
    </row>
    <row r="128" spans="1:39" x14ac:dyDescent="0.35">
      <c r="A128" t="s">
        <v>30</v>
      </c>
      <c r="B128">
        <v>2016</v>
      </c>
      <c r="C128" t="s">
        <v>40</v>
      </c>
      <c r="D128" s="4">
        <f>DATE(B128,MATCH(C128,{"January","February","March","April","May","June","July","August","September","October","November","December"},0),1)</f>
        <v>42552</v>
      </c>
      <c r="E128">
        <v>129.30000000000001</v>
      </c>
      <c r="F128">
        <v>139.5</v>
      </c>
      <c r="G128">
        <v>129.6</v>
      </c>
      <c r="H128">
        <v>134.5</v>
      </c>
      <c r="I128">
        <v>119.5</v>
      </c>
      <c r="J128">
        <v>138.5</v>
      </c>
      <c r="K128">
        <v>158.19999999999999</v>
      </c>
      <c r="L128">
        <v>171.8</v>
      </c>
      <c r="M128">
        <v>110.3</v>
      </c>
      <c r="N128">
        <v>134.30000000000001</v>
      </c>
      <c r="O128">
        <v>127.3</v>
      </c>
      <c r="P128">
        <v>139.9</v>
      </c>
      <c r="Q128">
        <v>137.6</v>
      </c>
      <c r="R128">
        <v>138</v>
      </c>
      <c r="S128">
        <v>137.19999999999999</v>
      </c>
      <c r="T128">
        <v>132.19999999999999</v>
      </c>
      <c r="U128">
        <v>136.5</v>
      </c>
      <c r="V128">
        <v>126.4</v>
      </c>
      <c r="W128">
        <v>128.19999999999999</v>
      </c>
      <c r="X128">
        <v>130</v>
      </c>
      <c r="Y128">
        <v>126.7</v>
      </c>
      <c r="Z128">
        <v>116.4</v>
      </c>
      <c r="AA128">
        <v>125.2</v>
      </c>
      <c r="AB128">
        <v>130.80000000000001</v>
      </c>
      <c r="AC128">
        <v>120.9</v>
      </c>
      <c r="AD128">
        <v>123.8</v>
      </c>
      <c r="AE128">
        <v>133</v>
      </c>
      <c r="AF128">
        <f t="shared" si="2"/>
        <v>136.05833333333331</v>
      </c>
      <c r="AG128">
        <v>138</v>
      </c>
      <c r="AH128">
        <f>AVERAGE(Table1[[#This Row],[Clothing]:[Footwear]])</f>
        <v>134.69999999999999</v>
      </c>
      <c r="AI128">
        <v>128.19999999999999</v>
      </c>
      <c r="AJ128">
        <v>130</v>
      </c>
      <c r="AK128">
        <v>116.4</v>
      </c>
      <c r="AL128">
        <v>125.2</v>
      </c>
      <c r="AM128" t="str">
        <f t="shared" si="3"/>
        <v>Pre-COVID</v>
      </c>
    </row>
    <row r="129" spans="1:39" x14ac:dyDescent="0.35">
      <c r="A129" t="s">
        <v>33</v>
      </c>
      <c r="B129">
        <v>2016</v>
      </c>
      <c r="C129" t="s">
        <v>40</v>
      </c>
      <c r="D129" s="4">
        <f>DATE(B129,MATCH(C129,{"January","February","March","April","May","June","July","August","September","October","November","December"},0),1)</f>
        <v>42552</v>
      </c>
      <c r="E129">
        <v>126.8</v>
      </c>
      <c r="F129">
        <v>144.19999999999999</v>
      </c>
      <c r="G129">
        <v>136.6</v>
      </c>
      <c r="H129">
        <v>131.80000000000001</v>
      </c>
      <c r="I129">
        <v>111</v>
      </c>
      <c r="J129">
        <v>137</v>
      </c>
      <c r="K129">
        <v>179.5</v>
      </c>
      <c r="L129">
        <v>188.4</v>
      </c>
      <c r="M129">
        <v>113.3</v>
      </c>
      <c r="N129">
        <v>143.9</v>
      </c>
      <c r="O129">
        <v>121.7</v>
      </c>
      <c r="P129">
        <v>137.5</v>
      </c>
      <c r="Q129">
        <v>139.80000000000001</v>
      </c>
      <c r="R129">
        <v>142.9</v>
      </c>
      <c r="S129">
        <v>127.9</v>
      </c>
      <c r="T129">
        <v>121.1</v>
      </c>
      <c r="U129">
        <v>126.9</v>
      </c>
      <c r="V129">
        <v>126.4</v>
      </c>
      <c r="W129">
        <v>115.5</v>
      </c>
      <c r="X129">
        <v>123.5</v>
      </c>
      <c r="Y129">
        <v>120.9</v>
      </c>
      <c r="Z129">
        <v>111.7</v>
      </c>
      <c r="AA129">
        <v>120.3</v>
      </c>
      <c r="AB129">
        <v>130.80000000000001</v>
      </c>
      <c r="AC129">
        <v>120</v>
      </c>
      <c r="AD129">
        <v>119.9</v>
      </c>
      <c r="AE129">
        <v>129</v>
      </c>
      <c r="AF129">
        <f t="shared" si="2"/>
        <v>139.30833333333337</v>
      </c>
      <c r="AG129">
        <v>142.9</v>
      </c>
      <c r="AH129">
        <f>AVERAGE(Table1[[#This Row],[Clothing]:[Footwear]])</f>
        <v>124.5</v>
      </c>
      <c r="AI129">
        <v>115.5</v>
      </c>
      <c r="AJ129">
        <v>123.5</v>
      </c>
      <c r="AK129">
        <v>111.7</v>
      </c>
      <c r="AL129">
        <v>120.3</v>
      </c>
      <c r="AM129" t="str">
        <f t="shared" si="3"/>
        <v>Pre-COVID</v>
      </c>
    </row>
    <row r="130" spans="1:39" x14ac:dyDescent="0.35">
      <c r="A130" t="s">
        <v>34</v>
      </c>
      <c r="B130">
        <v>2016</v>
      </c>
      <c r="C130" t="s">
        <v>40</v>
      </c>
      <c r="D130" s="4">
        <f>DATE(B130,MATCH(C130,{"January","February","March","April","May","June","July","August","September","October","November","December"},0),1)</f>
        <v>42552</v>
      </c>
      <c r="E130">
        <v>128.5</v>
      </c>
      <c r="F130">
        <v>141.19999999999999</v>
      </c>
      <c r="G130">
        <v>132.30000000000001</v>
      </c>
      <c r="H130">
        <v>133.5</v>
      </c>
      <c r="I130">
        <v>116.4</v>
      </c>
      <c r="J130">
        <v>137.80000000000001</v>
      </c>
      <c r="K130">
        <v>165.4</v>
      </c>
      <c r="L130">
        <v>177.4</v>
      </c>
      <c r="M130">
        <v>111.3</v>
      </c>
      <c r="N130">
        <v>137.5</v>
      </c>
      <c r="O130">
        <v>125</v>
      </c>
      <c r="P130">
        <v>138.80000000000001</v>
      </c>
      <c r="Q130">
        <v>138.4</v>
      </c>
      <c r="R130">
        <v>139.30000000000001</v>
      </c>
      <c r="S130">
        <v>133.5</v>
      </c>
      <c r="T130">
        <v>127.6</v>
      </c>
      <c r="U130">
        <v>132.69999999999999</v>
      </c>
      <c r="V130">
        <v>126.4</v>
      </c>
      <c r="W130">
        <v>123.4</v>
      </c>
      <c r="X130">
        <v>126.9</v>
      </c>
      <c r="Y130">
        <v>124.5</v>
      </c>
      <c r="Z130">
        <v>113.9</v>
      </c>
      <c r="AA130">
        <v>122.4</v>
      </c>
      <c r="AB130">
        <v>130.80000000000001</v>
      </c>
      <c r="AC130">
        <v>120.5</v>
      </c>
      <c r="AD130">
        <v>121.9</v>
      </c>
      <c r="AE130">
        <v>131.1</v>
      </c>
      <c r="AF130">
        <f t="shared" ref="AF130:AF193" si="4">AVERAGE(E130:P130)</f>
        <v>137.09166666666667</v>
      </c>
      <c r="AG130">
        <v>139.30000000000001</v>
      </c>
      <c r="AH130">
        <f>AVERAGE(Table1[[#This Row],[Clothing]:[Footwear]])</f>
        <v>130.55000000000001</v>
      </c>
      <c r="AI130">
        <v>123.4</v>
      </c>
      <c r="AJ130">
        <v>126.9</v>
      </c>
      <c r="AK130">
        <v>113.9</v>
      </c>
      <c r="AL130">
        <v>122.4</v>
      </c>
      <c r="AM130" t="str">
        <f t="shared" ref="AM130:AM193" si="5">IF(D130&lt;DATE(2020,3,1),"Pre-COVID",IF(D130=DATE(2020,3,1),"COVID Onset",IF(D130&lt;=DATE(2020,5,31),"Lockdown","Post-COVID")))</f>
        <v>Pre-COVID</v>
      </c>
    </row>
    <row r="131" spans="1:39" x14ac:dyDescent="0.35">
      <c r="A131" t="s">
        <v>30</v>
      </c>
      <c r="B131">
        <v>2016</v>
      </c>
      <c r="C131" t="s">
        <v>41</v>
      </c>
      <c r="D131" s="4">
        <f>DATE(B131,MATCH(C131,{"January","February","March","April","May","June","July","August","September","October","November","December"},0),1)</f>
        <v>42583</v>
      </c>
      <c r="E131">
        <v>130.1</v>
      </c>
      <c r="F131">
        <v>138.80000000000001</v>
      </c>
      <c r="G131">
        <v>130.30000000000001</v>
      </c>
      <c r="H131">
        <v>135.30000000000001</v>
      </c>
      <c r="I131">
        <v>119.9</v>
      </c>
      <c r="J131">
        <v>140.19999999999999</v>
      </c>
      <c r="K131">
        <v>156.9</v>
      </c>
      <c r="L131">
        <v>172.2</v>
      </c>
      <c r="M131">
        <v>112.1</v>
      </c>
      <c r="N131">
        <v>134.9</v>
      </c>
      <c r="O131">
        <v>128.1</v>
      </c>
      <c r="P131">
        <v>140.69999999999999</v>
      </c>
      <c r="Q131">
        <v>138</v>
      </c>
      <c r="R131">
        <v>138.9</v>
      </c>
      <c r="S131">
        <v>137.80000000000001</v>
      </c>
      <c r="T131">
        <v>133</v>
      </c>
      <c r="U131">
        <v>137.1</v>
      </c>
      <c r="V131">
        <v>127.3</v>
      </c>
      <c r="W131">
        <v>129.1</v>
      </c>
      <c r="X131">
        <v>130.6</v>
      </c>
      <c r="Y131">
        <v>127</v>
      </c>
      <c r="Z131">
        <v>116</v>
      </c>
      <c r="AA131">
        <v>125.5</v>
      </c>
      <c r="AB131">
        <v>131.9</v>
      </c>
      <c r="AC131">
        <v>122</v>
      </c>
      <c r="AD131">
        <v>124.2</v>
      </c>
      <c r="AE131">
        <v>133.5</v>
      </c>
      <c r="AF131">
        <f t="shared" si="4"/>
        <v>136.62499999999997</v>
      </c>
      <c r="AG131">
        <v>138.9</v>
      </c>
      <c r="AH131">
        <f>AVERAGE(Table1[[#This Row],[Clothing]:[Footwear]])</f>
        <v>135.4</v>
      </c>
      <c r="AI131">
        <v>129.1</v>
      </c>
      <c r="AJ131">
        <v>130.6</v>
      </c>
      <c r="AK131">
        <v>116</v>
      </c>
      <c r="AL131">
        <v>125.5</v>
      </c>
      <c r="AM131" t="str">
        <f t="shared" si="5"/>
        <v>Pre-COVID</v>
      </c>
    </row>
    <row r="132" spans="1:39" x14ac:dyDescent="0.35">
      <c r="A132" t="s">
        <v>33</v>
      </c>
      <c r="B132">
        <v>2016</v>
      </c>
      <c r="C132" t="s">
        <v>41</v>
      </c>
      <c r="D132" s="4">
        <f>DATE(B132,MATCH(C132,{"January","February","March","April","May","June","July","August","September","October","November","December"},0),1)</f>
        <v>42583</v>
      </c>
      <c r="E132">
        <v>127.6</v>
      </c>
      <c r="F132">
        <v>140.30000000000001</v>
      </c>
      <c r="G132">
        <v>133.69999999999999</v>
      </c>
      <c r="H132">
        <v>132.19999999999999</v>
      </c>
      <c r="I132">
        <v>111.8</v>
      </c>
      <c r="J132">
        <v>135.80000000000001</v>
      </c>
      <c r="K132">
        <v>163.5</v>
      </c>
      <c r="L132">
        <v>182.3</v>
      </c>
      <c r="M132">
        <v>114.6</v>
      </c>
      <c r="N132">
        <v>144.6</v>
      </c>
      <c r="O132">
        <v>121.9</v>
      </c>
      <c r="P132">
        <v>138.1</v>
      </c>
      <c r="Q132">
        <v>137.6</v>
      </c>
      <c r="R132">
        <v>143.6</v>
      </c>
      <c r="S132">
        <v>128.30000000000001</v>
      </c>
      <c r="T132">
        <v>121.4</v>
      </c>
      <c r="U132">
        <v>127.3</v>
      </c>
      <c r="V132">
        <v>127.3</v>
      </c>
      <c r="W132">
        <v>114.7</v>
      </c>
      <c r="X132">
        <v>123.9</v>
      </c>
      <c r="Y132">
        <v>121.2</v>
      </c>
      <c r="Z132">
        <v>110.4</v>
      </c>
      <c r="AA132">
        <v>120.6</v>
      </c>
      <c r="AB132">
        <v>131.5</v>
      </c>
      <c r="AC132">
        <v>120.9</v>
      </c>
      <c r="AD132">
        <v>119.9</v>
      </c>
      <c r="AE132">
        <v>128.4</v>
      </c>
      <c r="AF132">
        <f t="shared" si="4"/>
        <v>137.19999999999996</v>
      </c>
      <c r="AG132">
        <v>143.6</v>
      </c>
      <c r="AH132">
        <f>AVERAGE(Table1[[#This Row],[Clothing]:[Footwear]])</f>
        <v>124.85000000000001</v>
      </c>
      <c r="AI132">
        <v>114.7</v>
      </c>
      <c r="AJ132">
        <v>123.9</v>
      </c>
      <c r="AK132">
        <v>110.4</v>
      </c>
      <c r="AL132">
        <v>120.6</v>
      </c>
      <c r="AM132" t="str">
        <f t="shared" si="5"/>
        <v>Pre-COVID</v>
      </c>
    </row>
    <row r="133" spans="1:39" x14ac:dyDescent="0.35">
      <c r="A133" t="s">
        <v>34</v>
      </c>
      <c r="B133">
        <v>2016</v>
      </c>
      <c r="C133" t="s">
        <v>41</v>
      </c>
      <c r="D133" s="4">
        <f>DATE(B133,MATCH(C133,{"January","February","March","April","May","June","July","August","September","October","November","December"},0),1)</f>
        <v>42583</v>
      </c>
      <c r="E133">
        <v>129.30000000000001</v>
      </c>
      <c r="F133">
        <v>139.30000000000001</v>
      </c>
      <c r="G133">
        <v>131.6</v>
      </c>
      <c r="H133">
        <v>134.1</v>
      </c>
      <c r="I133">
        <v>116.9</v>
      </c>
      <c r="J133">
        <v>138.1</v>
      </c>
      <c r="K133">
        <v>159.1</v>
      </c>
      <c r="L133">
        <v>175.6</v>
      </c>
      <c r="M133">
        <v>112.9</v>
      </c>
      <c r="N133">
        <v>138.1</v>
      </c>
      <c r="O133">
        <v>125.5</v>
      </c>
      <c r="P133">
        <v>139.5</v>
      </c>
      <c r="Q133">
        <v>137.9</v>
      </c>
      <c r="R133">
        <v>140.19999999999999</v>
      </c>
      <c r="S133">
        <v>134.1</v>
      </c>
      <c r="T133">
        <v>128.19999999999999</v>
      </c>
      <c r="U133">
        <v>133.19999999999999</v>
      </c>
      <c r="V133">
        <v>127.3</v>
      </c>
      <c r="W133">
        <v>123.6</v>
      </c>
      <c r="X133">
        <v>127.4</v>
      </c>
      <c r="Y133">
        <v>124.8</v>
      </c>
      <c r="Z133">
        <v>113.1</v>
      </c>
      <c r="AA133">
        <v>122.7</v>
      </c>
      <c r="AB133">
        <v>131.69999999999999</v>
      </c>
      <c r="AC133">
        <v>121.5</v>
      </c>
      <c r="AD133">
        <v>122.1</v>
      </c>
      <c r="AE133">
        <v>131.1</v>
      </c>
      <c r="AF133">
        <f t="shared" si="4"/>
        <v>136.66666666666666</v>
      </c>
      <c r="AG133">
        <v>140.19999999999999</v>
      </c>
      <c r="AH133">
        <f>AVERAGE(Table1[[#This Row],[Clothing]:[Footwear]])</f>
        <v>131.14999999999998</v>
      </c>
      <c r="AI133">
        <v>123.6</v>
      </c>
      <c r="AJ133">
        <v>127.4</v>
      </c>
      <c r="AK133">
        <v>113.1</v>
      </c>
      <c r="AL133">
        <v>122.7</v>
      </c>
      <c r="AM133" t="str">
        <f t="shared" si="5"/>
        <v>Pre-COVID</v>
      </c>
    </row>
    <row r="134" spans="1:39" x14ac:dyDescent="0.35">
      <c r="A134" t="s">
        <v>30</v>
      </c>
      <c r="B134">
        <v>2016</v>
      </c>
      <c r="C134" t="s">
        <v>42</v>
      </c>
      <c r="D134" s="4">
        <f>DATE(B134,MATCH(C134,{"January","February","March","April","May","June","July","August","September","October","November","December"},0),1)</f>
        <v>42614</v>
      </c>
      <c r="E134">
        <v>130.80000000000001</v>
      </c>
      <c r="F134">
        <v>138.19999999999999</v>
      </c>
      <c r="G134">
        <v>130.5</v>
      </c>
      <c r="H134">
        <v>135.5</v>
      </c>
      <c r="I134">
        <v>120.2</v>
      </c>
      <c r="J134">
        <v>139.19999999999999</v>
      </c>
      <c r="K134">
        <v>149.5</v>
      </c>
      <c r="L134">
        <v>170.4</v>
      </c>
      <c r="M134">
        <v>113.1</v>
      </c>
      <c r="N134">
        <v>135.80000000000001</v>
      </c>
      <c r="O134">
        <v>128.80000000000001</v>
      </c>
      <c r="P134">
        <v>141.5</v>
      </c>
      <c r="Q134">
        <v>137.19999999999999</v>
      </c>
      <c r="R134">
        <v>139.9</v>
      </c>
      <c r="S134">
        <v>138.5</v>
      </c>
      <c r="T134">
        <v>133.5</v>
      </c>
      <c r="U134">
        <v>137.80000000000001</v>
      </c>
      <c r="V134">
        <v>127.9</v>
      </c>
      <c r="W134">
        <v>129.69999999999999</v>
      </c>
      <c r="X134">
        <v>131.1</v>
      </c>
      <c r="Y134">
        <v>127.8</v>
      </c>
      <c r="Z134">
        <v>117</v>
      </c>
      <c r="AA134">
        <v>125.7</v>
      </c>
      <c r="AB134">
        <v>132.19999999999999</v>
      </c>
      <c r="AC134">
        <v>122.8</v>
      </c>
      <c r="AD134">
        <v>124.9</v>
      </c>
      <c r="AE134">
        <v>133.4</v>
      </c>
      <c r="AF134">
        <f t="shared" si="4"/>
        <v>136.125</v>
      </c>
      <c r="AG134">
        <v>139.9</v>
      </c>
      <c r="AH134">
        <f>AVERAGE(Table1[[#This Row],[Clothing]:[Footwear]])</f>
        <v>136</v>
      </c>
      <c r="AI134">
        <v>129.69999999999999</v>
      </c>
      <c r="AJ134">
        <v>131.1</v>
      </c>
      <c r="AK134">
        <v>117</v>
      </c>
      <c r="AL134">
        <v>125.7</v>
      </c>
      <c r="AM134" t="str">
        <f t="shared" si="5"/>
        <v>Pre-COVID</v>
      </c>
    </row>
    <row r="135" spans="1:39" x14ac:dyDescent="0.35">
      <c r="A135" t="s">
        <v>33</v>
      </c>
      <c r="B135">
        <v>2016</v>
      </c>
      <c r="C135" t="s">
        <v>42</v>
      </c>
      <c r="D135" s="4">
        <f>DATE(B135,MATCH(C135,{"January","February","March","April","May","June","July","August","September","October","November","December"},0),1)</f>
        <v>42614</v>
      </c>
      <c r="E135">
        <v>128.1</v>
      </c>
      <c r="F135">
        <v>137.69999999999999</v>
      </c>
      <c r="G135">
        <v>130.6</v>
      </c>
      <c r="H135">
        <v>132.6</v>
      </c>
      <c r="I135">
        <v>111.9</v>
      </c>
      <c r="J135">
        <v>132.5</v>
      </c>
      <c r="K135">
        <v>152.9</v>
      </c>
      <c r="L135">
        <v>173.6</v>
      </c>
      <c r="M135">
        <v>115.1</v>
      </c>
      <c r="N135">
        <v>144.80000000000001</v>
      </c>
      <c r="O135">
        <v>122.1</v>
      </c>
      <c r="P135">
        <v>138.80000000000001</v>
      </c>
      <c r="Q135">
        <v>135.69999999999999</v>
      </c>
      <c r="R135">
        <v>143.9</v>
      </c>
      <c r="S135">
        <v>128.69999999999999</v>
      </c>
      <c r="T135">
        <v>121.6</v>
      </c>
      <c r="U135">
        <v>127.7</v>
      </c>
      <c r="V135">
        <v>127.9</v>
      </c>
      <c r="W135">
        <v>114.8</v>
      </c>
      <c r="X135">
        <v>124.3</v>
      </c>
      <c r="Y135">
        <v>121.4</v>
      </c>
      <c r="Z135">
        <v>111.8</v>
      </c>
      <c r="AA135">
        <v>120.8</v>
      </c>
      <c r="AB135">
        <v>131.6</v>
      </c>
      <c r="AC135">
        <v>121.2</v>
      </c>
      <c r="AD135">
        <v>120.5</v>
      </c>
      <c r="AE135">
        <v>128</v>
      </c>
      <c r="AF135">
        <f t="shared" si="4"/>
        <v>135.05833333333331</v>
      </c>
      <c r="AG135">
        <v>143.9</v>
      </c>
      <c r="AH135">
        <f>AVERAGE(Table1[[#This Row],[Clothing]:[Footwear]])</f>
        <v>125.14999999999999</v>
      </c>
      <c r="AI135">
        <v>114.8</v>
      </c>
      <c r="AJ135">
        <v>124.3</v>
      </c>
      <c r="AK135">
        <v>111.8</v>
      </c>
      <c r="AL135">
        <v>120.8</v>
      </c>
      <c r="AM135" t="str">
        <f t="shared" si="5"/>
        <v>Pre-COVID</v>
      </c>
    </row>
    <row r="136" spans="1:39" x14ac:dyDescent="0.35">
      <c r="A136" t="s">
        <v>34</v>
      </c>
      <c r="B136">
        <v>2016</v>
      </c>
      <c r="C136" t="s">
        <v>42</v>
      </c>
      <c r="D136" s="4">
        <f>DATE(B136,MATCH(C136,{"January","February","March","April","May","June","July","August","September","October","November","December"},0),1)</f>
        <v>42614</v>
      </c>
      <c r="E136">
        <v>129.9</v>
      </c>
      <c r="F136">
        <v>138</v>
      </c>
      <c r="G136">
        <v>130.5</v>
      </c>
      <c r="H136">
        <v>134.4</v>
      </c>
      <c r="I136">
        <v>117.2</v>
      </c>
      <c r="J136">
        <v>136.1</v>
      </c>
      <c r="K136">
        <v>150.69999999999999</v>
      </c>
      <c r="L136">
        <v>171.5</v>
      </c>
      <c r="M136">
        <v>113.8</v>
      </c>
      <c r="N136">
        <v>138.80000000000001</v>
      </c>
      <c r="O136">
        <v>126</v>
      </c>
      <c r="P136">
        <v>140.19999999999999</v>
      </c>
      <c r="Q136">
        <v>136.6</v>
      </c>
      <c r="R136">
        <v>141</v>
      </c>
      <c r="S136">
        <v>134.6</v>
      </c>
      <c r="T136">
        <v>128.6</v>
      </c>
      <c r="U136">
        <v>133.80000000000001</v>
      </c>
      <c r="V136">
        <v>127.9</v>
      </c>
      <c r="W136">
        <v>124.1</v>
      </c>
      <c r="X136">
        <v>127.9</v>
      </c>
      <c r="Y136">
        <v>125.4</v>
      </c>
      <c r="Z136">
        <v>114.3</v>
      </c>
      <c r="AA136">
        <v>122.9</v>
      </c>
      <c r="AB136">
        <v>131.80000000000001</v>
      </c>
      <c r="AC136">
        <v>122.1</v>
      </c>
      <c r="AD136">
        <v>122.8</v>
      </c>
      <c r="AE136">
        <v>130.9</v>
      </c>
      <c r="AF136">
        <f t="shared" si="4"/>
        <v>135.59166666666667</v>
      </c>
      <c r="AG136">
        <v>141</v>
      </c>
      <c r="AH136">
        <f>AVERAGE(Table1[[#This Row],[Clothing]:[Footwear]])</f>
        <v>131.6</v>
      </c>
      <c r="AI136">
        <v>124.1</v>
      </c>
      <c r="AJ136">
        <v>127.9</v>
      </c>
      <c r="AK136">
        <v>114.3</v>
      </c>
      <c r="AL136">
        <v>122.9</v>
      </c>
      <c r="AM136" t="str">
        <f t="shared" si="5"/>
        <v>Pre-COVID</v>
      </c>
    </row>
    <row r="137" spans="1:39" x14ac:dyDescent="0.35">
      <c r="A137" t="s">
        <v>30</v>
      </c>
      <c r="B137">
        <v>2016</v>
      </c>
      <c r="C137" t="s">
        <v>43</v>
      </c>
      <c r="D137" s="4">
        <f>DATE(B137,MATCH(C137,{"January","February","March","April","May","June","July","August","September","October","November","December"},0),1)</f>
        <v>42644</v>
      </c>
      <c r="E137">
        <v>131.30000000000001</v>
      </c>
      <c r="F137">
        <v>137.6</v>
      </c>
      <c r="G137">
        <v>130.1</v>
      </c>
      <c r="H137">
        <v>136</v>
      </c>
      <c r="I137">
        <v>120.8</v>
      </c>
      <c r="J137">
        <v>138.4</v>
      </c>
      <c r="K137">
        <v>149.19999999999999</v>
      </c>
      <c r="L137">
        <v>170.2</v>
      </c>
      <c r="M137">
        <v>113.4</v>
      </c>
      <c r="N137">
        <v>136.30000000000001</v>
      </c>
      <c r="O137">
        <v>128.69999999999999</v>
      </c>
      <c r="P137">
        <v>142.4</v>
      </c>
      <c r="Q137">
        <v>137.4</v>
      </c>
      <c r="R137">
        <v>140.9</v>
      </c>
      <c r="S137">
        <v>139.6</v>
      </c>
      <c r="T137">
        <v>134.30000000000001</v>
      </c>
      <c r="U137">
        <v>138.80000000000001</v>
      </c>
      <c r="V137">
        <v>128.69999999999999</v>
      </c>
      <c r="W137">
        <v>129.80000000000001</v>
      </c>
      <c r="X137">
        <v>131.80000000000001</v>
      </c>
      <c r="Y137">
        <v>128.69999999999999</v>
      </c>
      <c r="Z137">
        <v>117.8</v>
      </c>
      <c r="AA137">
        <v>126.5</v>
      </c>
      <c r="AB137">
        <v>133</v>
      </c>
      <c r="AC137">
        <v>123</v>
      </c>
      <c r="AD137">
        <v>125.7</v>
      </c>
      <c r="AE137">
        <v>133.80000000000001</v>
      </c>
      <c r="AF137">
        <f t="shared" si="4"/>
        <v>136.20000000000002</v>
      </c>
      <c r="AG137">
        <v>140.9</v>
      </c>
      <c r="AH137">
        <f>AVERAGE(Table1[[#This Row],[Clothing]:[Footwear]])</f>
        <v>136.94999999999999</v>
      </c>
      <c r="AI137">
        <v>129.80000000000001</v>
      </c>
      <c r="AJ137">
        <v>131.80000000000001</v>
      </c>
      <c r="AK137">
        <v>117.8</v>
      </c>
      <c r="AL137">
        <v>126.5</v>
      </c>
      <c r="AM137" t="str">
        <f t="shared" si="5"/>
        <v>Pre-COVID</v>
      </c>
    </row>
    <row r="138" spans="1:39" x14ac:dyDescent="0.35">
      <c r="A138" t="s">
        <v>33</v>
      </c>
      <c r="B138">
        <v>2016</v>
      </c>
      <c r="C138" t="s">
        <v>43</v>
      </c>
      <c r="D138" s="4">
        <f>DATE(B138,MATCH(C138,{"January","February","March","April","May","June","July","August","September","October","November","December"},0),1)</f>
        <v>42644</v>
      </c>
      <c r="E138">
        <v>128.69999999999999</v>
      </c>
      <c r="F138">
        <v>138.4</v>
      </c>
      <c r="G138">
        <v>130.30000000000001</v>
      </c>
      <c r="H138">
        <v>132.69999999999999</v>
      </c>
      <c r="I138">
        <v>112.5</v>
      </c>
      <c r="J138">
        <v>130.4</v>
      </c>
      <c r="K138">
        <v>155.1</v>
      </c>
      <c r="L138">
        <v>175.7</v>
      </c>
      <c r="M138">
        <v>115.4</v>
      </c>
      <c r="N138">
        <v>145.30000000000001</v>
      </c>
      <c r="O138">
        <v>122.5</v>
      </c>
      <c r="P138">
        <v>139.6</v>
      </c>
      <c r="Q138">
        <v>136.30000000000001</v>
      </c>
      <c r="R138">
        <v>144.30000000000001</v>
      </c>
      <c r="S138">
        <v>129.1</v>
      </c>
      <c r="T138">
        <v>121.9</v>
      </c>
      <c r="U138">
        <v>128</v>
      </c>
      <c r="V138">
        <v>128.69999999999999</v>
      </c>
      <c r="W138">
        <v>115.2</v>
      </c>
      <c r="X138">
        <v>124.5</v>
      </c>
      <c r="Y138">
        <v>121.8</v>
      </c>
      <c r="Z138">
        <v>112.8</v>
      </c>
      <c r="AA138">
        <v>121.2</v>
      </c>
      <c r="AB138">
        <v>131.9</v>
      </c>
      <c r="AC138">
        <v>120.8</v>
      </c>
      <c r="AD138">
        <v>120.9</v>
      </c>
      <c r="AE138">
        <v>128.6</v>
      </c>
      <c r="AF138">
        <f t="shared" si="4"/>
        <v>135.54999999999998</v>
      </c>
      <c r="AG138">
        <v>144.30000000000001</v>
      </c>
      <c r="AH138">
        <f>AVERAGE(Table1[[#This Row],[Clothing]:[Footwear]])</f>
        <v>125.5</v>
      </c>
      <c r="AI138">
        <v>115.2</v>
      </c>
      <c r="AJ138">
        <v>124.5</v>
      </c>
      <c r="AK138">
        <v>112.8</v>
      </c>
      <c r="AL138">
        <v>121.2</v>
      </c>
      <c r="AM138" t="str">
        <f t="shared" si="5"/>
        <v>Pre-COVID</v>
      </c>
    </row>
    <row r="139" spans="1:39" x14ac:dyDescent="0.35">
      <c r="A139" t="s">
        <v>34</v>
      </c>
      <c r="B139">
        <v>2016</v>
      </c>
      <c r="C139" t="s">
        <v>43</v>
      </c>
      <c r="D139" s="4">
        <f>DATE(B139,MATCH(C139,{"January","February","March","April","May","June","July","August","September","October","November","December"},0),1)</f>
        <v>42644</v>
      </c>
      <c r="E139">
        <v>130.5</v>
      </c>
      <c r="F139">
        <v>137.9</v>
      </c>
      <c r="G139">
        <v>130.19999999999999</v>
      </c>
      <c r="H139">
        <v>134.80000000000001</v>
      </c>
      <c r="I139">
        <v>117.8</v>
      </c>
      <c r="J139">
        <v>134.69999999999999</v>
      </c>
      <c r="K139">
        <v>151.19999999999999</v>
      </c>
      <c r="L139">
        <v>172.1</v>
      </c>
      <c r="M139">
        <v>114.1</v>
      </c>
      <c r="N139">
        <v>139.30000000000001</v>
      </c>
      <c r="O139">
        <v>126.1</v>
      </c>
      <c r="P139">
        <v>141.1</v>
      </c>
      <c r="Q139">
        <v>137</v>
      </c>
      <c r="R139">
        <v>141.80000000000001</v>
      </c>
      <c r="S139">
        <v>135.5</v>
      </c>
      <c r="T139">
        <v>129.1</v>
      </c>
      <c r="U139">
        <v>134.5</v>
      </c>
      <c r="V139">
        <v>128.69999999999999</v>
      </c>
      <c r="W139">
        <v>124.3</v>
      </c>
      <c r="X139">
        <v>128.4</v>
      </c>
      <c r="Y139">
        <v>126.1</v>
      </c>
      <c r="Z139">
        <v>115.2</v>
      </c>
      <c r="AA139">
        <v>123.5</v>
      </c>
      <c r="AB139">
        <v>132.4</v>
      </c>
      <c r="AC139">
        <v>122.1</v>
      </c>
      <c r="AD139">
        <v>123.4</v>
      </c>
      <c r="AE139">
        <v>131.4</v>
      </c>
      <c r="AF139">
        <f t="shared" si="4"/>
        <v>135.81666666666663</v>
      </c>
      <c r="AG139">
        <v>141.80000000000001</v>
      </c>
      <c r="AH139">
        <f>AVERAGE(Table1[[#This Row],[Clothing]:[Footwear]])</f>
        <v>132.30000000000001</v>
      </c>
      <c r="AI139">
        <v>124.3</v>
      </c>
      <c r="AJ139">
        <v>128.4</v>
      </c>
      <c r="AK139">
        <v>115.2</v>
      </c>
      <c r="AL139">
        <v>123.5</v>
      </c>
      <c r="AM139" t="str">
        <f t="shared" si="5"/>
        <v>Pre-COVID</v>
      </c>
    </row>
    <row r="140" spans="1:39" x14ac:dyDescent="0.35">
      <c r="A140" t="s">
        <v>30</v>
      </c>
      <c r="B140">
        <v>2016</v>
      </c>
      <c r="C140" t="s">
        <v>45</v>
      </c>
      <c r="D140" s="4">
        <f>DATE(B140,MATCH(C140,{"January","February","March","April","May","June","July","August","September","October","November","December"},0),1)</f>
        <v>42675</v>
      </c>
      <c r="E140">
        <v>132</v>
      </c>
      <c r="F140">
        <v>137.4</v>
      </c>
      <c r="G140">
        <v>130.6</v>
      </c>
      <c r="H140">
        <v>136.19999999999999</v>
      </c>
      <c r="I140">
        <v>121.1</v>
      </c>
      <c r="J140">
        <v>136.9</v>
      </c>
      <c r="K140">
        <v>141.80000000000001</v>
      </c>
      <c r="L140">
        <v>170</v>
      </c>
      <c r="M140">
        <v>113.4</v>
      </c>
      <c r="N140">
        <v>136.80000000000001</v>
      </c>
      <c r="O140">
        <v>128.69999999999999</v>
      </c>
      <c r="P140">
        <v>143.1</v>
      </c>
      <c r="Q140">
        <v>136.6</v>
      </c>
      <c r="R140">
        <v>141.19999999999999</v>
      </c>
      <c r="S140">
        <v>139.9</v>
      </c>
      <c r="T140">
        <v>134.5</v>
      </c>
      <c r="U140">
        <v>139.19999999999999</v>
      </c>
      <c r="V140">
        <v>129.1</v>
      </c>
      <c r="W140">
        <v>130.30000000000001</v>
      </c>
      <c r="X140">
        <v>132.1</v>
      </c>
      <c r="Y140">
        <v>129.1</v>
      </c>
      <c r="Z140">
        <v>118.2</v>
      </c>
      <c r="AA140">
        <v>126.9</v>
      </c>
      <c r="AB140">
        <v>133.69999999999999</v>
      </c>
      <c r="AC140">
        <v>123.5</v>
      </c>
      <c r="AD140">
        <v>126.1</v>
      </c>
      <c r="AE140">
        <v>133.6</v>
      </c>
      <c r="AF140">
        <f t="shared" si="4"/>
        <v>135.66666666666666</v>
      </c>
      <c r="AG140">
        <v>141.19999999999999</v>
      </c>
      <c r="AH140">
        <f>AVERAGE(Table1[[#This Row],[Clothing]:[Footwear]])</f>
        <v>137.19999999999999</v>
      </c>
      <c r="AI140">
        <v>130.30000000000001</v>
      </c>
      <c r="AJ140">
        <v>132.1</v>
      </c>
      <c r="AK140">
        <v>118.2</v>
      </c>
      <c r="AL140">
        <v>126.9</v>
      </c>
      <c r="AM140" t="str">
        <f t="shared" si="5"/>
        <v>Pre-COVID</v>
      </c>
    </row>
    <row r="141" spans="1:39" x14ac:dyDescent="0.35">
      <c r="A141" t="s">
        <v>33</v>
      </c>
      <c r="B141">
        <v>2016</v>
      </c>
      <c r="C141" t="s">
        <v>45</v>
      </c>
      <c r="D141" s="4">
        <f>DATE(B141,MATCH(C141,{"January","February","March","April","May","June","July","August","September","October","November","December"},0),1)</f>
        <v>42675</v>
      </c>
      <c r="E141">
        <v>130.19999999999999</v>
      </c>
      <c r="F141">
        <v>138.5</v>
      </c>
      <c r="G141">
        <v>134.1</v>
      </c>
      <c r="H141">
        <v>132.9</v>
      </c>
      <c r="I141">
        <v>112.6</v>
      </c>
      <c r="J141">
        <v>130.80000000000001</v>
      </c>
      <c r="K141">
        <v>142</v>
      </c>
      <c r="L141">
        <v>174.9</v>
      </c>
      <c r="M141">
        <v>115.6</v>
      </c>
      <c r="N141">
        <v>145.4</v>
      </c>
      <c r="O141">
        <v>122.7</v>
      </c>
      <c r="P141">
        <v>140.30000000000001</v>
      </c>
      <c r="Q141">
        <v>135.19999999999999</v>
      </c>
      <c r="R141">
        <v>144.30000000000001</v>
      </c>
      <c r="S141">
        <v>129.6</v>
      </c>
      <c r="T141">
        <v>122.1</v>
      </c>
      <c r="U141">
        <v>128.5</v>
      </c>
      <c r="V141">
        <v>129.1</v>
      </c>
      <c r="W141">
        <v>116.2</v>
      </c>
      <c r="X141">
        <v>124.7</v>
      </c>
      <c r="Y141">
        <v>122.1</v>
      </c>
      <c r="Z141">
        <v>113.4</v>
      </c>
      <c r="AA141">
        <v>121.7</v>
      </c>
      <c r="AB141">
        <v>132.1</v>
      </c>
      <c r="AC141">
        <v>121.3</v>
      </c>
      <c r="AD141">
        <v>121.3</v>
      </c>
      <c r="AE141">
        <v>128.5</v>
      </c>
      <c r="AF141">
        <f t="shared" si="4"/>
        <v>135</v>
      </c>
      <c r="AG141">
        <v>144.30000000000001</v>
      </c>
      <c r="AH141">
        <f>AVERAGE(Table1[[#This Row],[Clothing]:[Footwear]])</f>
        <v>125.85</v>
      </c>
      <c r="AI141">
        <v>116.2</v>
      </c>
      <c r="AJ141">
        <v>124.7</v>
      </c>
      <c r="AK141">
        <v>113.4</v>
      </c>
      <c r="AL141">
        <v>121.7</v>
      </c>
      <c r="AM141" t="str">
        <f t="shared" si="5"/>
        <v>Pre-COVID</v>
      </c>
    </row>
    <row r="142" spans="1:39" x14ac:dyDescent="0.35">
      <c r="A142" t="s">
        <v>34</v>
      </c>
      <c r="B142">
        <v>2016</v>
      </c>
      <c r="C142" t="s">
        <v>45</v>
      </c>
      <c r="D142" s="4">
        <f>DATE(B142,MATCH(C142,{"January","February","March","April","May","June","July","August","September","October","November","December"},0),1)</f>
        <v>42675</v>
      </c>
      <c r="E142">
        <v>131.4</v>
      </c>
      <c r="F142">
        <v>137.80000000000001</v>
      </c>
      <c r="G142">
        <v>132</v>
      </c>
      <c r="H142">
        <v>135</v>
      </c>
      <c r="I142">
        <v>118</v>
      </c>
      <c r="J142">
        <v>134.1</v>
      </c>
      <c r="K142">
        <v>141.9</v>
      </c>
      <c r="L142">
        <v>171.7</v>
      </c>
      <c r="M142">
        <v>114.1</v>
      </c>
      <c r="N142">
        <v>139.69999999999999</v>
      </c>
      <c r="O142">
        <v>126.2</v>
      </c>
      <c r="P142">
        <v>141.80000000000001</v>
      </c>
      <c r="Q142">
        <v>136.1</v>
      </c>
      <c r="R142">
        <v>142</v>
      </c>
      <c r="S142">
        <v>135.80000000000001</v>
      </c>
      <c r="T142">
        <v>129.30000000000001</v>
      </c>
      <c r="U142">
        <v>135</v>
      </c>
      <c r="V142">
        <v>129.1</v>
      </c>
      <c r="W142">
        <v>125</v>
      </c>
      <c r="X142">
        <v>128.6</v>
      </c>
      <c r="Y142">
        <v>126.4</v>
      </c>
      <c r="Z142">
        <v>115.7</v>
      </c>
      <c r="AA142">
        <v>124</v>
      </c>
      <c r="AB142">
        <v>132.80000000000001</v>
      </c>
      <c r="AC142">
        <v>122.6</v>
      </c>
      <c r="AD142">
        <v>123.8</v>
      </c>
      <c r="AE142">
        <v>131.19999999999999</v>
      </c>
      <c r="AF142">
        <f t="shared" si="4"/>
        <v>135.30833333333334</v>
      </c>
      <c r="AG142">
        <v>142</v>
      </c>
      <c r="AH142">
        <f>AVERAGE(Table1[[#This Row],[Clothing]:[Footwear]])</f>
        <v>132.55000000000001</v>
      </c>
      <c r="AI142">
        <v>125</v>
      </c>
      <c r="AJ142">
        <v>128.6</v>
      </c>
      <c r="AK142">
        <v>115.7</v>
      </c>
      <c r="AL142">
        <v>124</v>
      </c>
      <c r="AM142" t="str">
        <f t="shared" si="5"/>
        <v>Pre-COVID</v>
      </c>
    </row>
    <row r="143" spans="1:39" x14ac:dyDescent="0.35">
      <c r="A143" t="s">
        <v>30</v>
      </c>
      <c r="B143">
        <v>2016</v>
      </c>
      <c r="C143" t="s">
        <v>46</v>
      </c>
      <c r="D143" s="4">
        <f>DATE(B143,MATCH(C143,{"January","February","March","April","May","June","July","August","September","October","November","December"},0),1)</f>
        <v>42705</v>
      </c>
      <c r="E143">
        <v>132.6</v>
      </c>
      <c r="F143">
        <v>137.30000000000001</v>
      </c>
      <c r="G143">
        <v>131.6</v>
      </c>
      <c r="H143">
        <v>136.30000000000001</v>
      </c>
      <c r="I143">
        <v>121.6</v>
      </c>
      <c r="J143">
        <v>135.6</v>
      </c>
      <c r="K143">
        <v>127.5</v>
      </c>
      <c r="L143">
        <v>167.9</v>
      </c>
      <c r="M143">
        <v>113.8</v>
      </c>
      <c r="N143">
        <v>137.5</v>
      </c>
      <c r="O143">
        <v>129.1</v>
      </c>
      <c r="P143">
        <v>143.6</v>
      </c>
      <c r="Q143">
        <v>134.69999999999999</v>
      </c>
      <c r="R143">
        <v>142.4</v>
      </c>
      <c r="S143">
        <v>140.4</v>
      </c>
      <c r="T143">
        <v>135.19999999999999</v>
      </c>
      <c r="U143">
        <v>139.69999999999999</v>
      </c>
      <c r="V143">
        <v>128.5</v>
      </c>
      <c r="W143">
        <v>132</v>
      </c>
      <c r="X143">
        <v>132.9</v>
      </c>
      <c r="Y143">
        <v>129.69999999999999</v>
      </c>
      <c r="Z143">
        <v>118.6</v>
      </c>
      <c r="AA143">
        <v>127.3</v>
      </c>
      <c r="AB143">
        <v>134.19999999999999</v>
      </c>
      <c r="AC143">
        <v>121.9</v>
      </c>
      <c r="AD143">
        <v>126.3</v>
      </c>
      <c r="AE143">
        <v>132.80000000000001</v>
      </c>
      <c r="AF143">
        <f t="shared" si="4"/>
        <v>134.53333333333333</v>
      </c>
      <c r="AG143">
        <v>142.4</v>
      </c>
      <c r="AH143">
        <f>AVERAGE(Table1[[#This Row],[Clothing]:[Footwear]])</f>
        <v>137.80000000000001</v>
      </c>
      <c r="AI143">
        <v>132</v>
      </c>
      <c r="AJ143">
        <v>132.9</v>
      </c>
      <c r="AK143">
        <v>118.6</v>
      </c>
      <c r="AL143">
        <v>127.3</v>
      </c>
      <c r="AM143" t="str">
        <f t="shared" si="5"/>
        <v>Pre-COVID</v>
      </c>
    </row>
    <row r="144" spans="1:39" x14ac:dyDescent="0.35">
      <c r="A144" t="s">
        <v>33</v>
      </c>
      <c r="B144">
        <v>2016</v>
      </c>
      <c r="C144" t="s">
        <v>46</v>
      </c>
      <c r="D144" s="4">
        <f>DATE(B144,MATCH(C144,{"January","February","March","April","May","June","July","August","September","October","November","December"},0),1)</f>
        <v>42705</v>
      </c>
      <c r="E144">
        <v>131.6</v>
      </c>
      <c r="F144">
        <v>138.19999999999999</v>
      </c>
      <c r="G144">
        <v>134.9</v>
      </c>
      <c r="H144">
        <v>133.1</v>
      </c>
      <c r="I144">
        <v>113.5</v>
      </c>
      <c r="J144">
        <v>129.30000000000001</v>
      </c>
      <c r="K144">
        <v>121.1</v>
      </c>
      <c r="L144">
        <v>170.3</v>
      </c>
      <c r="M144">
        <v>115.5</v>
      </c>
      <c r="N144">
        <v>145.5</v>
      </c>
      <c r="O144">
        <v>123.1</v>
      </c>
      <c r="P144">
        <v>140.9</v>
      </c>
      <c r="Q144">
        <v>132.80000000000001</v>
      </c>
      <c r="R144">
        <v>145</v>
      </c>
      <c r="S144">
        <v>130</v>
      </c>
      <c r="T144">
        <v>122.2</v>
      </c>
      <c r="U144">
        <v>128.80000000000001</v>
      </c>
      <c r="V144">
        <v>128.5</v>
      </c>
      <c r="W144">
        <v>117.8</v>
      </c>
      <c r="X144">
        <v>125</v>
      </c>
      <c r="Y144">
        <v>122.3</v>
      </c>
      <c r="Z144">
        <v>113.7</v>
      </c>
      <c r="AA144">
        <v>121.8</v>
      </c>
      <c r="AB144">
        <v>132.30000000000001</v>
      </c>
      <c r="AC144">
        <v>119.9</v>
      </c>
      <c r="AD144">
        <v>121.4</v>
      </c>
      <c r="AE144">
        <v>127.6</v>
      </c>
      <c r="AF144">
        <f t="shared" si="4"/>
        <v>133.08333333333334</v>
      </c>
      <c r="AG144">
        <v>145</v>
      </c>
      <c r="AH144">
        <f>AVERAGE(Table1[[#This Row],[Clothing]:[Footwear]])</f>
        <v>126.1</v>
      </c>
      <c r="AI144">
        <v>117.8</v>
      </c>
      <c r="AJ144">
        <v>125</v>
      </c>
      <c r="AK144">
        <v>113.7</v>
      </c>
      <c r="AL144">
        <v>121.8</v>
      </c>
      <c r="AM144" t="str">
        <f t="shared" si="5"/>
        <v>Pre-COVID</v>
      </c>
    </row>
    <row r="145" spans="1:39" x14ac:dyDescent="0.35">
      <c r="A145" t="s">
        <v>34</v>
      </c>
      <c r="B145">
        <v>2016</v>
      </c>
      <c r="C145" t="s">
        <v>46</v>
      </c>
      <c r="D145" s="4">
        <f>DATE(B145,MATCH(C145,{"January","February","March","April","May","June","July","August","September","October","November","December"},0),1)</f>
        <v>42705</v>
      </c>
      <c r="E145">
        <v>132.30000000000001</v>
      </c>
      <c r="F145">
        <v>137.6</v>
      </c>
      <c r="G145">
        <v>132.9</v>
      </c>
      <c r="H145">
        <v>135.1</v>
      </c>
      <c r="I145">
        <v>118.6</v>
      </c>
      <c r="J145">
        <v>132.69999999999999</v>
      </c>
      <c r="K145">
        <v>125.3</v>
      </c>
      <c r="L145">
        <v>168.7</v>
      </c>
      <c r="M145">
        <v>114.4</v>
      </c>
      <c r="N145">
        <v>140.19999999999999</v>
      </c>
      <c r="O145">
        <v>126.6</v>
      </c>
      <c r="P145">
        <v>142.30000000000001</v>
      </c>
      <c r="Q145">
        <v>134</v>
      </c>
      <c r="R145">
        <v>143.1</v>
      </c>
      <c r="S145">
        <v>136.30000000000001</v>
      </c>
      <c r="T145">
        <v>129.80000000000001</v>
      </c>
      <c r="U145">
        <v>135.4</v>
      </c>
      <c r="V145">
        <v>128.5</v>
      </c>
      <c r="W145">
        <v>126.6</v>
      </c>
      <c r="X145">
        <v>129.19999999999999</v>
      </c>
      <c r="Y145">
        <v>126.9</v>
      </c>
      <c r="Z145">
        <v>116</v>
      </c>
      <c r="AA145">
        <v>124.2</v>
      </c>
      <c r="AB145">
        <v>133.1</v>
      </c>
      <c r="AC145">
        <v>121.1</v>
      </c>
      <c r="AD145">
        <v>123.9</v>
      </c>
      <c r="AE145">
        <v>130.4</v>
      </c>
      <c r="AF145">
        <f t="shared" si="4"/>
        <v>133.89166666666668</v>
      </c>
      <c r="AG145">
        <v>143.1</v>
      </c>
      <c r="AH145">
        <f>AVERAGE(Table1[[#This Row],[Clothing]:[Footwear]])</f>
        <v>133.05000000000001</v>
      </c>
      <c r="AI145">
        <v>126.6</v>
      </c>
      <c r="AJ145">
        <v>129.19999999999999</v>
      </c>
      <c r="AK145">
        <v>116</v>
      </c>
      <c r="AL145">
        <v>124.2</v>
      </c>
      <c r="AM145" t="str">
        <f t="shared" si="5"/>
        <v>Pre-COVID</v>
      </c>
    </row>
    <row r="146" spans="1:39" x14ac:dyDescent="0.35">
      <c r="A146" t="s">
        <v>30</v>
      </c>
      <c r="B146">
        <v>2017</v>
      </c>
      <c r="C146" t="s">
        <v>31</v>
      </c>
      <c r="D146" s="4">
        <f>DATE(B146,MATCH(C146,{"January","February","March","April","May","June","July","August","September","October","November","December"},0),1)</f>
        <v>42736</v>
      </c>
      <c r="E146">
        <v>133.1</v>
      </c>
      <c r="F146">
        <v>137.80000000000001</v>
      </c>
      <c r="G146">
        <v>131.9</v>
      </c>
      <c r="H146">
        <v>136.69999999999999</v>
      </c>
      <c r="I146">
        <v>122</v>
      </c>
      <c r="J146">
        <v>136</v>
      </c>
      <c r="K146">
        <v>119.8</v>
      </c>
      <c r="L146">
        <v>161.69999999999999</v>
      </c>
      <c r="M146">
        <v>114.8</v>
      </c>
      <c r="N146">
        <v>136.9</v>
      </c>
      <c r="O146">
        <v>129</v>
      </c>
      <c r="P146">
        <v>143.9</v>
      </c>
      <c r="Q146">
        <v>133.69999999999999</v>
      </c>
      <c r="R146">
        <v>143.1</v>
      </c>
      <c r="S146">
        <v>140.69999999999999</v>
      </c>
      <c r="T146">
        <v>135.80000000000001</v>
      </c>
      <c r="U146">
        <v>140</v>
      </c>
      <c r="V146">
        <v>129.6</v>
      </c>
      <c r="W146">
        <v>132.1</v>
      </c>
      <c r="X146">
        <v>133.19999999999999</v>
      </c>
      <c r="Y146">
        <v>129.9</v>
      </c>
      <c r="Z146">
        <v>119.1</v>
      </c>
      <c r="AA146">
        <v>127</v>
      </c>
      <c r="AB146">
        <v>134.6</v>
      </c>
      <c r="AC146">
        <v>122.3</v>
      </c>
      <c r="AD146">
        <v>126.6</v>
      </c>
      <c r="AE146">
        <v>132.4</v>
      </c>
      <c r="AF146">
        <f t="shared" si="4"/>
        <v>133.63333333333335</v>
      </c>
      <c r="AG146">
        <v>143.1</v>
      </c>
      <c r="AH146">
        <f>AVERAGE(Table1[[#This Row],[Clothing]:[Footwear]])</f>
        <v>138.25</v>
      </c>
      <c r="AI146">
        <v>132.1</v>
      </c>
      <c r="AJ146">
        <v>133.19999999999999</v>
      </c>
      <c r="AK146">
        <v>119.1</v>
      </c>
      <c r="AL146">
        <v>127</v>
      </c>
      <c r="AM146" t="str">
        <f t="shared" si="5"/>
        <v>Pre-COVID</v>
      </c>
    </row>
    <row r="147" spans="1:39" x14ac:dyDescent="0.35">
      <c r="A147" t="s">
        <v>33</v>
      </c>
      <c r="B147">
        <v>2017</v>
      </c>
      <c r="C147" t="s">
        <v>31</v>
      </c>
      <c r="D147" s="4">
        <f>DATE(B147,MATCH(C147,{"January","February","March","April","May","June","July","August","September","October","November","December"},0),1)</f>
        <v>42736</v>
      </c>
      <c r="E147">
        <v>132.19999999999999</v>
      </c>
      <c r="F147">
        <v>138.9</v>
      </c>
      <c r="G147">
        <v>132.6</v>
      </c>
      <c r="H147">
        <v>133.1</v>
      </c>
      <c r="I147">
        <v>114</v>
      </c>
      <c r="J147">
        <v>129.6</v>
      </c>
      <c r="K147">
        <v>118.7</v>
      </c>
      <c r="L147">
        <v>155.1</v>
      </c>
      <c r="M147">
        <v>117.3</v>
      </c>
      <c r="N147">
        <v>144.9</v>
      </c>
      <c r="O147">
        <v>123.2</v>
      </c>
      <c r="P147">
        <v>141.6</v>
      </c>
      <c r="Q147">
        <v>132</v>
      </c>
      <c r="R147">
        <v>145.6</v>
      </c>
      <c r="S147">
        <v>130.19999999999999</v>
      </c>
      <c r="T147">
        <v>122.3</v>
      </c>
      <c r="U147">
        <v>129</v>
      </c>
      <c r="V147">
        <v>129.6</v>
      </c>
      <c r="W147">
        <v>118</v>
      </c>
      <c r="X147">
        <v>125.1</v>
      </c>
      <c r="Y147">
        <v>122.6</v>
      </c>
      <c r="Z147">
        <v>115.2</v>
      </c>
      <c r="AA147">
        <v>122</v>
      </c>
      <c r="AB147">
        <v>132.4</v>
      </c>
      <c r="AC147">
        <v>120.9</v>
      </c>
      <c r="AD147">
        <v>122.1</v>
      </c>
      <c r="AE147">
        <v>127.8</v>
      </c>
      <c r="AF147">
        <f t="shared" si="4"/>
        <v>131.76666666666668</v>
      </c>
      <c r="AG147">
        <v>145.6</v>
      </c>
      <c r="AH147">
        <f>AVERAGE(Table1[[#This Row],[Clothing]:[Footwear]])</f>
        <v>126.25</v>
      </c>
      <c r="AI147">
        <v>118</v>
      </c>
      <c r="AJ147">
        <v>125.1</v>
      </c>
      <c r="AK147">
        <v>115.2</v>
      </c>
      <c r="AL147">
        <v>122</v>
      </c>
      <c r="AM147" t="str">
        <f t="shared" si="5"/>
        <v>Pre-COVID</v>
      </c>
    </row>
    <row r="148" spans="1:39" x14ac:dyDescent="0.35">
      <c r="A148" t="s">
        <v>34</v>
      </c>
      <c r="B148">
        <v>2017</v>
      </c>
      <c r="C148" t="s">
        <v>31</v>
      </c>
      <c r="D148" s="4">
        <f>DATE(B148,MATCH(C148,{"January","February","March","April","May","June","July","August","September","October","November","December"},0),1)</f>
        <v>42736</v>
      </c>
      <c r="E148">
        <v>132.80000000000001</v>
      </c>
      <c r="F148">
        <v>138.19999999999999</v>
      </c>
      <c r="G148">
        <v>132.19999999999999</v>
      </c>
      <c r="H148">
        <v>135.4</v>
      </c>
      <c r="I148">
        <v>119.1</v>
      </c>
      <c r="J148">
        <v>133</v>
      </c>
      <c r="K148">
        <v>119.4</v>
      </c>
      <c r="L148">
        <v>159.5</v>
      </c>
      <c r="M148">
        <v>115.6</v>
      </c>
      <c r="N148">
        <v>139.6</v>
      </c>
      <c r="O148">
        <v>126.6</v>
      </c>
      <c r="P148">
        <v>142.80000000000001</v>
      </c>
      <c r="Q148">
        <v>133.1</v>
      </c>
      <c r="R148">
        <v>143.80000000000001</v>
      </c>
      <c r="S148">
        <v>136.6</v>
      </c>
      <c r="T148">
        <v>130.19999999999999</v>
      </c>
      <c r="U148">
        <v>135.6</v>
      </c>
      <c r="V148">
        <v>129.6</v>
      </c>
      <c r="W148">
        <v>126.8</v>
      </c>
      <c r="X148">
        <v>129.4</v>
      </c>
      <c r="Y148">
        <v>127.1</v>
      </c>
      <c r="Z148">
        <v>117</v>
      </c>
      <c r="AA148">
        <v>124.2</v>
      </c>
      <c r="AB148">
        <v>133.30000000000001</v>
      </c>
      <c r="AC148">
        <v>121.7</v>
      </c>
      <c r="AD148">
        <v>124.4</v>
      </c>
      <c r="AE148">
        <v>130.30000000000001</v>
      </c>
      <c r="AF148">
        <f t="shared" si="4"/>
        <v>132.84999999999997</v>
      </c>
      <c r="AG148">
        <v>143.80000000000001</v>
      </c>
      <c r="AH148">
        <f>AVERAGE(Table1[[#This Row],[Clothing]:[Footwear]])</f>
        <v>133.39999999999998</v>
      </c>
      <c r="AI148">
        <v>126.8</v>
      </c>
      <c r="AJ148">
        <v>129.4</v>
      </c>
      <c r="AK148">
        <v>117</v>
      </c>
      <c r="AL148">
        <v>124.2</v>
      </c>
      <c r="AM148" t="str">
        <f t="shared" si="5"/>
        <v>Pre-COVID</v>
      </c>
    </row>
    <row r="149" spans="1:39" x14ac:dyDescent="0.35">
      <c r="A149" t="s">
        <v>30</v>
      </c>
      <c r="B149">
        <v>2017</v>
      </c>
      <c r="C149" t="s">
        <v>35</v>
      </c>
      <c r="D149" s="4">
        <f>DATE(B149,MATCH(C149,{"January","February","March","April","May","June","July","August","September","October","November","December"},0),1)</f>
        <v>42767</v>
      </c>
      <c r="E149">
        <v>133.30000000000001</v>
      </c>
      <c r="F149">
        <v>138.30000000000001</v>
      </c>
      <c r="G149">
        <v>129.30000000000001</v>
      </c>
      <c r="H149">
        <v>137.19999999999999</v>
      </c>
      <c r="I149">
        <v>122.1</v>
      </c>
      <c r="J149">
        <v>138.69999999999999</v>
      </c>
      <c r="K149">
        <v>119.1</v>
      </c>
      <c r="L149">
        <v>156.9</v>
      </c>
      <c r="M149">
        <v>116.2</v>
      </c>
      <c r="N149">
        <v>136</v>
      </c>
      <c r="O149">
        <v>129.4</v>
      </c>
      <c r="P149">
        <v>144.4</v>
      </c>
      <c r="Q149">
        <v>133.6</v>
      </c>
      <c r="R149">
        <v>143.69999999999999</v>
      </c>
      <c r="S149">
        <v>140.9</v>
      </c>
      <c r="T149">
        <v>135.80000000000001</v>
      </c>
      <c r="U149">
        <v>140.19999999999999</v>
      </c>
      <c r="V149">
        <v>130.5</v>
      </c>
      <c r="W149">
        <v>133.19999999999999</v>
      </c>
      <c r="X149">
        <v>133.6</v>
      </c>
      <c r="Y149">
        <v>130.1</v>
      </c>
      <c r="Z149">
        <v>119.5</v>
      </c>
      <c r="AA149">
        <v>127.7</v>
      </c>
      <c r="AB149">
        <v>134.9</v>
      </c>
      <c r="AC149">
        <v>123.2</v>
      </c>
      <c r="AD149">
        <v>127</v>
      </c>
      <c r="AE149">
        <v>132.6</v>
      </c>
      <c r="AF149">
        <f t="shared" si="4"/>
        <v>133.40833333333336</v>
      </c>
      <c r="AG149">
        <v>143.69999999999999</v>
      </c>
      <c r="AH149">
        <f>AVERAGE(Table1[[#This Row],[Clothing]:[Footwear]])</f>
        <v>138.35000000000002</v>
      </c>
      <c r="AI149">
        <v>133.19999999999999</v>
      </c>
      <c r="AJ149">
        <v>133.6</v>
      </c>
      <c r="AK149">
        <v>119.5</v>
      </c>
      <c r="AL149">
        <v>127.7</v>
      </c>
      <c r="AM149" t="str">
        <f t="shared" si="5"/>
        <v>Pre-COVID</v>
      </c>
    </row>
    <row r="150" spans="1:39" x14ac:dyDescent="0.35">
      <c r="A150" t="s">
        <v>33</v>
      </c>
      <c r="B150">
        <v>2017</v>
      </c>
      <c r="C150" t="s">
        <v>35</v>
      </c>
      <c r="D150" s="4">
        <f>DATE(B150,MATCH(C150,{"January","February","March","April","May","June","July","August","September","October","November","December"},0),1)</f>
        <v>42767</v>
      </c>
      <c r="E150">
        <v>132.80000000000001</v>
      </c>
      <c r="F150">
        <v>139.80000000000001</v>
      </c>
      <c r="G150">
        <v>129.30000000000001</v>
      </c>
      <c r="H150">
        <v>133.5</v>
      </c>
      <c r="I150">
        <v>114.3</v>
      </c>
      <c r="J150">
        <v>131.4</v>
      </c>
      <c r="K150">
        <v>120.2</v>
      </c>
      <c r="L150">
        <v>143.1</v>
      </c>
      <c r="M150">
        <v>119.5</v>
      </c>
      <c r="N150">
        <v>144</v>
      </c>
      <c r="O150">
        <v>123.4</v>
      </c>
      <c r="P150">
        <v>141.9</v>
      </c>
      <c r="Q150">
        <v>132.1</v>
      </c>
      <c r="R150">
        <v>146.30000000000001</v>
      </c>
      <c r="S150">
        <v>130.5</v>
      </c>
      <c r="T150">
        <v>122.5</v>
      </c>
      <c r="U150">
        <v>129.30000000000001</v>
      </c>
      <c r="V150">
        <v>130.5</v>
      </c>
      <c r="W150">
        <v>119.2</v>
      </c>
      <c r="X150">
        <v>125.3</v>
      </c>
      <c r="Y150">
        <v>122.9</v>
      </c>
      <c r="Z150">
        <v>115.5</v>
      </c>
      <c r="AA150">
        <v>122.2</v>
      </c>
      <c r="AB150">
        <v>132.4</v>
      </c>
      <c r="AC150">
        <v>121.7</v>
      </c>
      <c r="AD150">
        <v>122.4</v>
      </c>
      <c r="AE150">
        <v>128.19999999999999</v>
      </c>
      <c r="AF150">
        <f t="shared" si="4"/>
        <v>131.10000000000002</v>
      </c>
      <c r="AG150">
        <v>146.30000000000001</v>
      </c>
      <c r="AH150">
        <f>AVERAGE(Table1[[#This Row],[Clothing]:[Footwear]])</f>
        <v>126.5</v>
      </c>
      <c r="AI150">
        <v>119.2</v>
      </c>
      <c r="AJ150">
        <v>125.3</v>
      </c>
      <c r="AK150">
        <v>115.5</v>
      </c>
      <c r="AL150">
        <v>122.2</v>
      </c>
      <c r="AM150" t="str">
        <f t="shared" si="5"/>
        <v>Pre-COVID</v>
      </c>
    </row>
    <row r="151" spans="1:39" x14ac:dyDescent="0.35">
      <c r="A151" t="s">
        <v>34</v>
      </c>
      <c r="B151">
        <v>2017</v>
      </c>
      <c r="C151" t="s">
        <v>35</v>
      </c>
      <c r="D151" s="4">
        <f>DATE(B151,MATCH(C151,{"January","February","March","April","May","June","July","August","September","October","November","December"},0),1)</f>
        <v>42767</v>
      </c>
      <c r="E151">
        <v>133.1</v>
      </c>
      <c r="F151">
        <v>138.80000000000001</v>
      </c>
      <c r="G151">
        <v>129.30000000000001</v>
      </c>
      <c r="H151">
        <v>135.80000000000001</v>
      </c>
      <c r="I151">
        <v>119.2</v>
      </c>
      <c r="J151">
        <v>135.30000000000001</v>
      </c>
      <c r="K151">
        <v>119.5</v>
      </c>
      <c r="L151">
        <v>152.19999999999999</v>
      </c>
      <c r="M151">
        <v>117.3</v>
      </c>
      <c r="N151">
        <v>138.69999999999999</v>
      </c>
      <c r="O151">
        <v>126.9</v>
      </c>
      <c r="P151">
        <v>143.19999999999999</v>
      </c>
      <c r="Q151">
        <v>133</v>
      </c>
      <c r="R151">
        <v>144.4</v>
      </c>
      <c r="S151">
        <v>136.80000000000001</v>
      </c>
      <c r="T151">
        <v>130.30000000000001</v>
      </c>
      <c r="U151">
        <v>135.9</v>
      </c>
      <c r="V151">
        <v>130.5</v>
      </c>
      <c r="W151">
        <v>127.9</v>
      </c>
      <c r="X151">
        <v>129.69999999999999</v>
      </c>
      <c r="Y151">
        <v>127.4</v>
      </c>
      <c r="Z151">
        <v>117.4</v>
      </c>
      <c r="AA151">
        <v>124.6</v>
      </c>
      <c r="AB151">
        <v>133.4</v>
      </c>
      <c r="AC151">
        <v>122.6</v>
      </c>
      <c r="AD151">
        <v>124.8</v>
      </c>
      <c r="AE151">
        <v>130.6</v>
      </c>
      <c r="AF151">
        <f t="shared" si="4"/>
        <v>132.44166666666669</v>
      </c>
      <c r="AG151">
        <v>144.4</v>
      </c>
      <c r="AH151">
        <f>AVERAGE(Table1[[#This Row],[Clothing]:[Footwear]])</f>
        <v>133.55000000000001</v>
      </c>
      <c r="AI151">
        <v>127.9</v>
      </c>
      <c r="AJ151">
        <v>129.69999999999999</v>
      </c>
      <c r="AK151">
        <v>117.4</v>
      </c>
      <c r="AL151">
        <v>124.6</v>
      </c>
      <c r="AM151" t="str">
        <f t="shared" si="5"/>
        <v>Pre-COVID</v>
      </c>
    </row>
    <row r="152" spans="1:39" x14ac:dyDescent="0.35">
      <c r="A152" t="s">
        <v>30</v>
      </c>
      <c r="B152">
        <v>2017</v>
      </c>
      <c r="C152" t="s">
        <v>36</v>
      </c>
      <c r="D152" s="4">
        <f>DATE(B152,MATCH(C152,{"January","February","March","April","May","June","July","August","September","October","November","December"},0),1)</f>
        <v>42795</v>
      </c>
      <c r="E152">
        <v>133.6</v>
      </c>
      <c r="F152">
        <v>138.80000000000001</v>
      </c>
      <c r="G152">
        <v>128.80000000000001</v>
      </c>
      <c r="H152">
        <v>137.19999999999999</v>
      </c>
      <c r="I152">
        <v>121.6</v>
      </c>
      <c r="J152">
        <v>139.69999999999999</v>
      </c>
      <c r="K152">
        <v>119.7</v>
      </c>
      <c r="L152">
        <v>148</v>
      </c>
      <c r="M152">
        <v>116.9</v>
      </c>
      <c r="N152">
        <v>135.6</v>
      </c>
      <c r="O152">
        <v>129.80000000000001</v>
      </c>
      <c r="P152">
        <v>145.4</v>
      </c>
      <c r="Q152">
        <v>133.4</v>
      </c>
      <c r="R152">
        <v>144.19999999999999</v>
      </c>
      <c r="S152">
        <v>141.6</v>
      </c>
      <c r="T152">
        <v>136.19999999999999</v>
      </c>
      <c r="U152">
        <v>140.80000000000001</v>
      </c>
      <c r="V152">
        <v>131.1</v>
      </c>
      <c r="W152">
        <v>134.19999999999999</v>
      </c>
      <c r="X152">
        <v>134.1</v>
      </c>
      <c r="Y152">
        <v>130.6</v>
      </c>
      <c r="Z152">
        <v>119.8</v>
      </c>
      <c r="AA152">
        <v>128.30000000000001</v>
      </c>
      <c r="AB152">
        <v>135.19999999999999</v>
      </c>
      <c r="AC152">
        <v>123.3</v>
      </c>
      <c r="AD152">
        <v>127.4</v>
      </c>
      <c r="AE152">
        <v>132.80000000000001</v>
      </c>
      <c r="AF152">
        <f t="shared" si="4"/>
        <v>132.92500000000001</v>
      </c>
      <c r="AG152">
        <v>144.19999999999999</v>
      </c>
      <c r="AH152">
        <f>AVERAGE(Table1[[#This Row],[Clothing]:[Footwear]])</f>
        <v>138.89999999999998</v>
      </c>
      <c r="AI152">
        <v>134.19999999999999</v>
      </c>
      <c r="AJ152">
        <v>134.1</v>
      </c>
      <c r="AK152">
        <v>119.8</v>
      </c>
      <c r="AL152">
        <v>128.30000000000001</v>
      </c>
      <c r="AM152" t="str">
        <f t="shared" si="5"/>
        <v>Pre-COVID</v>
      </c>
    </row>
    <row r="153" spans="1:39" x14ac:dyDescent="0.35">
      <c r="A153" t="s">
        <v>33</v>
      </c>
      <c r="B153">
        <v>2017</v>
      </c>
      <c r="C153" t="s">
        <v>36</v>
      </c>
      <c r="D153" s="4">
        <f>DATE(B153,MATCH(C153,{"January","February","March","April","May","June","July","August","September","October","November","December"},0),1)</f>
        <v>42795</v>
      </c>
      <c r="E153">
        <v>132.69999999999999</v>
      </c>
      <c r="F153">
        <v>139.4</v>
      </c>
      <c r="G153">
        <v>128.4</v>
      </c>
      <c r="H153">
        <v>134.9</v>
      </c>
      <c r="I153">
        <v>114</v>
      </c>
      <c r="J153">
        <v>136.80000000000001</v>
      </c>
      <c r="K153">
        <v>122.2</v>
      </c>
      <c r="L153">
        <v>135.80000000000001</v>
      </c>
      <c r="M153">
        <v>120.3</v>
      </c>
      <c r="N153">
        <v>142.6</v>
      </c>
      <c r="O153">
        <v>123.6</v>
      </c>
      <c r="P153">
        <v>142.4</v>
      </c>
      <c r="Q153">
        <v>132.6</v>
      </c>
      <c r="R153">
        <v>147.5</v>
      </c>
      <c r="S153">
        <v>130.80000000000001</v>
      </c>
      <c r="T153">
        <v>122.8</v>
      </c>
      <c r="U153">
        <v>129.6</v>
      </c>
      <c r="V153">
        <v>131.1</v>
      </c>
      <c r="W153">
        <v>120.8</v>
      </c>
      <c r="X153">
        <v>125.6</v>
      </c>
      <c r="Y153">
        <v>123.1</v>
      </c>
      <c r="Z153">
        <v>115.6</v>
      </c>
      <c r="AA153">
        <v>122.4</v>
      </c>
      <c r="AB153">
        <v>132.80000000000001</v>
      </c>
      <c r="AC153">
        <v>121.7</v>
      </c>
      <c r="AD153">
        <v>122.6</v>
      </c>
      <c r="AE153">
        <v>128.69999999999999</v>
      </c>
      <c r="AF153">
        <f t="shared" si="4"/>
        <v>131.09166666666667</v>
      </c>
      <c r="AG153">
        <v>147.5</v>
      </c>
      <c r="AH153">
        <f>AVERAGE(Table1[[#This Row],[Clothing]:[Footwear]])</f>
        <v>126.80000000000001</v>
      </c>
      <c r="AI153">
        <v>120.8</v>
      </c>
      <c r="AJ153">
        <v>125.6</v>
      </c>
      <c r="AK153">
        <v>115.6</v>
      </c>
      <c r="AL153">
        <v>122.4</v>
      </c>
      <c r="AM153" t="str">
        <f t="shared" si="5"/>
        <v>Pre-COVID</v>
      </c>
    </row>
    <row r="154" spans="1:39" x14ac:dyDescent="0.35">
      <c r="A154" t="s">
        <v>34</v>
      </c>
      <c r="B154">
        <v>2017</v>
      </c>
      <c r="C154" t="s">
        <v>36</v>
      </c>
      <c r="D154" s="4">
        <f>DATE(B154,MATCH(C154,{"January","February","March","April","May","June","July","August","September","October","November","December"},0),1)</f>
        <v>42795</v>
      </c>
      <c r="E154">
        <v>133.30000000000001</v>
      </c>
      <c r="F154">
        <v>139</v>
      </c>
      <c r="G154">
        <v>128.6</v>
      </c>
      <c r="H154">
        <v>136.30000000000001</v>
      </c>
      <c r="I154">
        <v>118.8</v>
      </c>
      <c r="J154">
        <v>138.30000000000001</v>
      </c>
      <c r="K154">
        <v>120.5</v>
      </c>
      <c r="L154">
        <v>143.9</v>
      </c>
      <c r="M154">
        <v>118</v>
      </c>
      <c r="N154">
        <v>137.9</v>
      </c>
      <c r="O154">
        <v>127.2</v>
      </c>
      <c r="P154">
        <v>144</v>
      </c>
      <c r="Q154">
        <v>133.1</v>
      </c>
      <c r="R154">
        <v>145.1</v>
      </c>
      <c r="S154">
        <v>137.30000000000001</v>
      </c>
      <c r="T154">
        <v>130.6</v>
      </c>
      <c r="U154">
        <v>136.4</v>
      </c>
      <c r="V154">
        <v>131.1</v>
      </c>
      <c r="W154">
        <v>129.1</v>
      </c>
      <c r="X154">
        <v>130.1</v>
      </c>
      <c r="Y154">
        <v>127.8</v>
      </c>
      <c r="Z154">
        <v>117.6</v>
      </c>
      <c r="AA154">
        <v>125</v>
      </c>
      <c r="AB154">
        <v>133.80000000000001</v>
      </c>
      <c r="AC154">
        <v>122.6</v>
      </c>
      <c r="AD154">
        <v>125.1</v>
      </c>
      <c r="AE154">
        <v>130.9</v>
      </c>
      <c r="AF154">
        <f t="shared" si="4"/>
        <v>132.15</v>
      </c>
      <c r="AG154">
        <v>145.1</v>
      </c>
      <c r="AH154">
        <f>AVERAGE(Table1[[#This Row],[Clothing]:[Footwear]])</f>
        <v>133.94999999999999</v>
      </c>
      <c r="AI154">
        <v>129.1</v>
      </c>
      <c r="AJ154">
        <v>130.1</v>
      </c>
      <c r="AK154">
        <v>117.6</v>
      </c>
      <c r="AL154">
        <v>125</v>
      </c>
      <c r="AM154" t="str">
        <f t="shared" si="5"/>
        <v>Pre-COVID</v>
      </c>
    </row>
    <row r="155" spans="1:39" x14ac:dyDescent="0.35">
      <c r="A155" t="s">
        <v>30</v>
      </c>
      <c r="B155">
        <v>2017</v>
      </c>
      <c r="C155" t="s">
        <v>37</v>
      </c>
      <c r="D155" s="4">
        <f>DATE(B155,MATCH(C155,{"January","February","March","April","May","June","July","August","September","October","November","December"},0),1)</f>
        <v>42826</v>
      </c>
      <c r="E155">
        <v>133.19999999999999</v>
      </c>
      <c r="F155">
        <v>138.69999999999999</v>
      </c>
      <c r="G155">
        <v>127.1</v>
      </c>
      <c r="H155">
        <v>137.69999999999999</v>
      </c>
      <c r="I155">
        <v>121.3</v>
      </c>
      <c r="J155">
        <v>141.80000000000001</v>
      </c>
      <c r="K155">
        <v>121.5</v>
      </c>
      <c r="L155">
        <v>144.5</v>
      </c>
      <c r="M155">
        <v>117.4</v>
      </c>
      <c r="N155">
        <v>134.1</v>
      </c>
      <c r="O155">
        <v>130</v>
      </c>
      <c r="P155">
        <v>145.5</v>
      </c>
      <c r="Q155">
        <v>133.5</v>
      </c>
      <c r="R155">
        <v>144.4</v>
      </c>
      <c r="S155">
        <v>142.4</v>
      </c>
      <c r="T155">
        <v>136.80000000000001</v>
      </c>
      <c r="U155">
        <v>141.6</v>
      </c>
      <c r="V155">
        <v>131.69999999999999</v>
      </c>
      <c r="W155">
        <v>135</v>
      </c>
      <c r="X155">
        <v>134.30000000000001</v>
      </c>
      <c r="Y155">
        <v>131</v>
      </c>
      <c r="Z155">
        <v>119.2</v>
      </c>
      <c r="AA155">
        <v>128.30000000000001</v>
      </c>
      <c r="AB155">
        <v>135.69999999999999</v>
      </c>
      <c r="AC155">
        <v>123.7</v>
      </c>
      <c r="AD155">
        <v>127.5</v>
      </c>
      <c r="AE155">
        <v>132.9</v>
      </c>
      <c r="AF155">
        <f t="shared" si="4"/>
        <v>132.73333333333332</v>
      </c>
      <c r="AG155">
        <v>144.4</v>
      </c>
      <c r="AH155">
        <f>AVERAGE(Table1[[#This Row],[Clothing]:[Footwear]])</f>
        <v>139.60000000000002</v>
      </c>
      <c r="AI155">
        <v>135</v>
      </c>
      <c r="AJ155">
        <v>134.30000000000001</v>
      </c>
      <c r="AK155">
        <v>119.2</v>
      </c>
      <c r="AL155">
        <v>128.30000000000001</v>
      </c>
      <c r="AM155" t="str">
        <f t="shared" si="5"/>
        <v>Pre-COVID</v>
      </c>
    </row>
    <row r="156" spans="1:39" x14ac:dyDescent="0.35">
      <c r="A156" t="s">
        <v>33</v>
      </c>
      <c r="B156">
        <v>2017</v>
      </c>
      <c r="C156" t="s">
        <v>37</v>
      </c>
      <c r="D156" s="4">
        <f>DATE(B156,MATCH(C156,{"January","February","March","April","May","June","July","August","September","October","November","December"},0),1)</f>
        <v>42826</v>
      </c>
      <c r="E156">
        <v>132.69999999999999</v>
      </c>
      <c r="F156">
        <v>140.6</v>
      </c>
      <c r="G156">
        <v>124.5</v>
      </c>
      <c r="H156">
        <v>136.30000000000001</v>
      </c>
      <c r="I156">
        <v>113.5</v>
      </c>
      <c r="J156">
        <v>137.69999999999999</v>
      </c>
      <c r="K156">
        <v>127.1</v>
      </c>
      <c r="L156">
        <v>133.80000000000001</v>
      </c>
      <c r="M156">
        <v>120.8</v>
      </c>
      <c r="N156">
        <v>141.30000000000001</v>
      </c>
      <c r="O156">
        <v>123.8</v>
      </c>
      <c r="P156">
        <v>142.6</v>
      </c>
      <c r="Q156">
        <v>133.4</v>
      </c>
      <c r="R156">
        <v>148</v>
      </c>
      <c r="S156">
        <v>131.19999999999999</v>
      </c>
      <c r="T156">
        <v>123</v>
      </c>
      <c r="U156">
        <v>130</v>
      </c>
      <c r="V156">
        <v>131.69999999999999</v>
      </c>
      <c r="W156">
        <v>121.4</v>
      </c>
      <c r="X156">
        <v>126</v>
      </c>
      <c r="Y156">
        <v>123.4</v>
      </c>
      <c r="Z156">
        <v>114.3</v>
      </c>
      <c r="AA156">
        <v>122.6</v>
      </c>
      <c r="AB156">
        <v>133.6</v>
      </c>
      <c r="AC156">
        <v>122.2</v>
      </c>
      <c r="AD156">
        <v>122.5</v>
      </c>
      <c r="AE156">
        <v>129.1</v>
      </c>
      <c r="AF156">
        <f t="shared" si="4"/>
        <v>131.22499999999999</v>
      </c>
      <c r="AG156">
        <v>148</v>
      </c>
      <c r="AH156">
        <f>AVERAGE(Table1[[#This Row],[Clothing]:[Footwear]])</f>
        <v>127.1</v>
      </c>
      <c r="AI156">
        <v>121.4</v>
      </c>
      <c r="AJ156">
        <v>126</v>
      </c>
      <c r="AK156">
        <v>114.3</v>
      </c>
      <c r="AL156">
        <v>122.6</v>
      </c>
      <c r="AM156" t="str">
        <f t="shared" si="5"/>
        <v>Pre-COVID</v>
      </c>
    </row>
    <row r="157" spans="1:39" x14ac:dyDescent="0.35">
      <c r="A157" t="s">
        <v>34</v>
      </c>
      <c r="B157">
        <v>2017</v>
      </c>
      <c r="C157" t="s">
        <v>37</v>
      </c>
      <c r="D157" s="4">
        <f>DATE(B157,MATCH(C157,{"January","February","March","April","May","June","July","August","September","October","November","December"},0),1)</f>
        <v>42826</v>
      </c>
      <c r="E157">
        <v>133</v>
      </c>
      <c r="F157">
        <v>139.4</v>
      </c>
      <c r="G157">
        <v>126.1</v>
      </c>
      <c r="H157">
        <v>137.19999999999999</v>
      </c>
      <c r="I157">
        <v>118.4</v>
      </c>
      <c r="J157">
        <v>139.9</v>
      </c>
      <c r="K157">
        <v>123.4</v>
      </c>
      <c r="L157">
        <v>140.9</v>
      </c>
      <c r="M157">
        <v>118.5</v>
      </c>
      <c r="N157">
        <v>136.5</v>
      </c>
      <c r="O157">
        <v>127.4</v>
      </c>
      <c r="P157">
        <v>144.19999999999999</v>
      </c>
      <c r="Q157">
        <v>133.5</v>
      </c>
      <c r="R157">
        <v>145.4</v>
      </c>
      <c r="S157">
        <v>138</v>
      </c>
      <c r="T157">
        <v>131.1</v>
      </c>
      <c r="U157">
        <v>137</v>
      </c>
      <c r="V157">
        <v>131.69999999999999</v>
      </c>
      <c r="W157">
        <v>129.80000000000001</v>
      </c>
      <c r="X157">
        <v>130.4</v>
      </c>
      <c r="Y157">
        <v>128.1</v>
      </c>
      <c r="Z157">
        <v>116.6</v>
      </c>
      <c r="AA157">
        <v>125.1</v>
      </c>
      <c r="AB157">
        <v>134.5</v>
      </c>
      <c r="AC157">
        <v>123.1</v>
      </c>
      <c r="AD157">
        <v>125.1</v>
      </c>
      <c r="AE157">
        <v>131.1</v>
      </c>
      <c r="AF157">
        <f t="shared" si="4"/>
        <v>132.07500000000002</v>
      </c>
      <c r="AG157">
        <v>145.4</v>
      </c>
      <c r="AH157">
        <f>AVERAGE(Table1[[#This Row],[Clothing]:[Footwear]])</f>
        <v>134.55000000000001</v>
      </c>
      <c r="AI157">
        <v>129.80000000000001</v>
      </c>
      <c r="AJ157">
        <v>130.4</v>
      </c>
      <c r="AK157">
        <v>116.6</v>
      </c>
      <c r="AL157">
        <v>125.1</v>
      </c>
      <c r="AM157" t="str">
        <f t="shared" si="5"/>
        <v>Pre-COVID</v>
      </c>
    </row>
    <row r="158" spans="1:39" x14ac:dyDescent="0.35">
      <c r="A158" t="s">
        <v>30</v>
      </c>
      <c r="B158">
        <v>2017</v>
      </c>
      <c r="C158" t="s">
        <v>38</v>
      </c>
      <c r="D158" s="4">
        <f>DATE(B158,MATCH(C158,{"January","February","March","April","May","June","July","August","September","October","November","December"},0),1)</f>
        <v>42856</v>
      </c>
      <c r="E158">
        <v>133.1</v>
      </c>
      <c r="F158">
        <v>140.30000000000001</v>
      </c>
      <c r="G158">
        <v>126.8</v>
      </c>
      <c r="H158">
        <v>138.19999999999999</v>
      </c>
      <c r="I158">
        <v>120.8</v>
      </c>
      <c r="J158">
        <v>140.19999999999999</v>
      </c>
      <c r="K158">
        <v>123.8</v>
      </c>
      <c r="L158">
        <v>141.80000000000001</v>
      </c>
      <c r="M158">
        <v>118.6</v>
      </c>
      <c r="N158">
        <v>134</v>
      </c>
      <c r="O158">
        <v>130.30000000000001</v>
      </c>
      <c r="P158">
        <v>145.80000000000001</v>
      </c>
      <c r="Q158">
        <v>133.80000000000001</v>
      </c>
      <c r="R158">
        <v>145.5</v>
      </c>
      <c r="S158">
        <v>142.5</v>
      </c>
      <c r="T158">
        <v>137.30000000000001</v>
      </c>
      <c r="U158">
        <v>141.80000000000001</v>
      </c>
      <c r="V158">
        <v>132.1</v>
      </c>
      <c r="W158">
        <v>135</v>
      </c>
      <c r="X158">
        <v>134.9</v>
      </c>
      <c r="Y158">
        <v>131.4</v>
      </c>
      <c r="Z158">
        <v>119.4</v>
      </c>
      <c r="AA158">
        <v>129.4</v>
      </c>
      <c r="AB158">
        <v>136.30000000000001</v>
      </c>
      <c r="AC158">
        <v>123.7</v>
      </c>
      <c r="AD158">
        <v>127.9</v>
      </c>
      <c r="AE158">
        <v>133.30000000000001</v>
      </c>
      <c r="AF158">
        <f t="shared" si="4"/>
        <v>132.80833333333331</v>
      </c>
      <c r="AG158">
        <v>145.5</v>
      </c>
      <c r="AH158">
        <f>AVERAGE(Table1[[#This Row],[Clothing]:[Footwear]])</f>
        <v>139.9</v>
      </c>
      <c r="AI158">
        <v>135</v>
      </c>
      <c r="AJ158">
        <v>134.9</v>
      </c>
      <c r="AK158">
        <v>119.4</v>
      </c>
      <c r="AL158">
        <v>129.4</v>
      </c>
      <c r="AM158" t="str">
        <f t="shared" si="5"/>
        <v>Pre-COVID</v>
      </c>
    </row>
    <row r="159" spans="1:39" x14ac:dyDescent="0.35">
      <c r="A159" t="s">
        <v>33</v>
      </c>
      <c r="B159">
        <v>2017</v>
      </c>
      <c r="C159" t="s">
        <v>38</v>
      </c>
      <c r="D159" s="4">
        <f>DATE(B159,MATCH(C159,{"January","February","March","April","May","June","July","August","September","October","November","December"},0),1)</f>
        <v>42856</v>
      </c>
      <c r="E159">
        <v>132.6</v>
      </c>
      <c r="F159">
        <v>144.1</v>
      </c>
      <c r="G159">
        <v>125.6</v>
      </c>
      <c r="H159">
        <v>136.80000000000001</v>
      </c>
      <c r="I159">
        <v>113.4</v>
      </c>
      <c r="J159">
        <v>135.19999999999999</v>
      </c>
      <c r="K159">
        <v>129.19999999999999</v>
      </c>
      <c r="L159">
        <v>131.5</v>
      </c>
      <c r="M159">
        <v>121</v>
      </c>
      <c r="N159">
        <v>139.9</v>
      </c>
      <c r="O159">
        <v>123.8</v>
      </c>
      <c r="P159">
        <v>142.9</v>
      </c>
      <c r="Q159">
        <v>133.6</v>
      </c>
      <c r="R159">
        <v>148.30000000000001</v>
      </c>
      <c r="S159">
        <v>131.5</v>
      </c>
      <c r="T159">
        <v>123.2</v>
      </c>
      <c r="U159">
        <v>130.19999999999999</v>
      </c>
      <c r="V159">
        <v>132.1</v>
      </c>
      <c r="W159">
        <v>120.1</v>
      </c>
      <c r="X159">
        <v>126.5</v>
      </c>
      <c r="Y159">
        <v>123.6</v>
      </c>
      <c r="Z159">
        <v>114.3</v>
      </c>
      <c r="AA159">
        <v>122.8</v>
      </c>
      <c r="AB159">
        <v>133.80000000000001</v>
      </c>
      <c r="AC159">
        <v>122</v>
      </c>
      <c r="AD159">
        <v>122.6</v>
      </c>
      <c r="AE159">
        <v>129.30000000000001</v>
      </c>
      <c r="AF159">
        <f t="shared" si="4"/>
        <v>131.33333333333334</v>
      </c>
      <c r="AG159">
        <v>148.30000000000001</v>
      </c>
      <c r="AH159">
        <f>AVERAGE(Table1[[#This Row],[Clothing]:[Footwear]])</f>
        <v>127.35</v>
      </c>
      <c r="AI159">
        <v>120.1</v>
      </c>
      <c r="AJ159">
        <v>126.5</v>
      </c>
      <c r="AK159">
        <v>114.3</v>
      </c>
      <c r="AL159">
        <v>122.8</v>
      </c>
      <c r="AM159" t="str">
        <f t="shared" si="5"/>
        <v>Pre-COVID</v>
      </c>
    </row>
    <row r="160" spans="1:39" x14ac:dyDescent="0.35">
      <c r="A160" t="s">
        <v>34</v>
      </c>
      <c r="B160">
        <v>2017</v>
      </c>
      <c r="C160" t="s">
        <v>38</v>
      </c>
      <c r="D160" s="4">
        <f>DATE(B160,MATCH(C160,{"January","February","March","April","May","June","July","August","September","October","November","December"},0),1)</f>
        <v>42856</v>
      </c>
      <c r="E160">
        <v>132.9</v>
      </c>
      <c r="F160">
        <v>141.6</v>
      </c>
      <c r="G160">
        <v>126.3</v>
      </c>
      <c r="H160">
        <v>137.69999999999999</v>
      </c>
      <c r="I160">
        <v>118.1</v>
      </c>
      <c r="J160">
        <v>137.9</v>
      </c>
      <c r="K160">
        <v>125.6</v>
      </c>
      <c r="L160">
        <v>138.30000000000001</v>
      </c>
      <c r="M160">
        <v>119.4</v>
      </c>
      <c r="N160">
        <v>136</v>
      </c>
      <c r="O160">
        <v>127.6</v>
      </c>
      <c r="P160">
        <v>144.5</v>
      </c>
      <c r="Q160">
        <v>133.69999999999999</v>
      </c>
      <c r="R160">
        <v>146.19999999999999</v>
      </c>
      <c r="S160">
        <v>138.19999999999999</v>
      </c>
      <c r="T160">
        <v>131.4</v>
      </c>
      <c r="U160">
        <v>137.19999999999999</v>
      </c>
      <c r="V160">
        <v>132.1</v>
      </c>
      <c r="W160">
        <v>129.4</v>
      </c>
      <c r="X160">
        <v>130.9</v>
      </c>
      <c r="Y160">
        <v>128.4</v>
      </c>
      <c r="Z160">
        <v>116.7</v>
      </c>
      <c r="AA160">
        <v>125.7</v>
      </c>
      <c r="AB160">
        <v>134.80000000000001</v>
      </c>
      <c r="AC160">
        <v>123</v>
      </c>
      <c r="AD160">
        <v>125.3</v>
      </c>
      <c r="AE160">
        <v>131.4</v>
      </c>
      <c r="AF160">
        <f t="shared" si="4"/>
        <v>132.15833333333333</v>
      </c>
      <c r="AG160">
        <v>146.19999999999999</v>
      </c>
      <c r="AH160">
        <f>AVERAGE(Table1[[#This Row],[Clothing]:[Footwear]])</f>
        <v>134.80000000000001</v>
      </c>
      <c r="AI160">
        <v>129.4</v>
      </c>
      <c r="AJ160">
        <v>130.9</v>
      </c>
      <c r="AK160">
        <v>116.7</v>
      </c>
      <c r="AL160">
        <v>125.7</v>
      </c>
      <c r="AM160" t="str">
        <f t="shared" si="5"/>
        <v>Pre-COVID</v>
      </c>
    </row>
    <row r="161" spans="1:39" x14ac:dyDescent="0.35">
      <c r="A161" t="s">
        <v>30</v>
      </c>
      <c r="B161">
        <v>2017</v>
      </c>
      <c r="C161" t="s">
        <v>39</v>
      </c>
      <c r="D161" s="4">
        <f>DATE(B161,MATCH(C161,{"January","February","March","April","May","June","July","August","September","October","November","December"},0),1)</f>
        <v>42887</v>
      </c>
      <c r="E161">
        <v>133.5</v>
      </c>
      <c r="F161">
        <v>143.69999999999999</v>
      </c>
      <c r="G161">
        <v>128</v>
      </c>
      <c r="H161">
        <v>138.6</v>
      </c>
      <c r="I161">
        <v>120.9</v>
      </c>
      <c r="J161">
        <v>140.9</v>
      </c>
      <c r="K161">
        <v>128.80000000000001</v>
      </c>
      <c r="L161">
        <v>140.19999999999999</v>
      </c>
      <c r="M161">
        <v>118.9</v>
      </c>
      <c r="N161">
        <v>133.5</v>
      </c>
      <c r="O161">
        <v>130.4</v>
      </c>
      <c r="P161">
        <v>146.5</v>
      </c>
      <c r="Q161">
        <v>134.9</v>
      </c>
      <c r="R161">
        <v>145.80000000000001</v>
      </c>
      <c r="S161">
        <v>143.1</v>
      </c>
      <c r="T161">
        <v>137.69999999999999</v>
      </c>
      <c r="U161">
        <v>142.30000000000001</v>
      </c>
      <c r="V161">
        <v>131.4</v>
      </c>
      <c r="W161">
        <v>134.80000000000001</v>
      </c>
      <c r="X161">
        <v>135.19999999999999</v>
      </c>
      <c r="Y161">
        <v>131.30000000000001</v>
      </c>
      <c r="Z161">
        <v>119.4</v>
      </c>
      <c r="AA161">
        <v>129.80000000000001</v>
      </c>
      <c r="AB161">
        <v>136.9</v>
      </c>
      <c r="AC161">
        <v>124.1</v>
      </c>
      <c r="AD161">
        <v>128.1</v>
      </c>
      <c r="AE161">
        <v>133.9</v>
      </c>
      <c r="AF161">
        <f t="shared" si="4"/>
        <v>133.65833333333333</v>
      </c>
      <c r="AG161">
        <v>145.80000000000001</v>
      </c>
      <c r="AH161">
        <f>AVERAGE(Table1[[#This Row],[Clothing]:[Footwear]])</f>
        <v>140.39999999999998</v>
      </c>
      <c r="AI161">
        <v>134.80000000000001</v>
      </c>
      <c r="AJ161">
        <v>135.19999999999999</v>
      </c>
      <c r="AK161">
        <v>119.4</v>
      </c>
      <c r="AL161">
        <v>129.80000000000001</v>
      </c>
      <c r="AM161" t="str">
        <f t="shared" si="5"/>
        <v>Pre-COVID</v>
      </c>
    </row>
    <row r="162" spans="1:39" x14ac:dyDescent="0.35">
      <c r="A162" t="s">
        <v>33</v>
      </c>
      <c r="B162">
        <v>2017</v>
      </c>
      <c r="C162" t="s">
        <v>39</v>
      </c>
      <c r="D162" s="4">
        <f>DATE(B162,MATCH(C162,{"January","February","March","April","May","June","July","August","September","October","November","December"},0),1)</f>
        <v>42887</v>
      </c>
      <c r="E162">
        <v>132.9</v>
      </c>
      <c r="F162">
        <v>148.69999999999999</v>
      </c>
      <c r="G162">
        <v>128.30000000000001</v>
      </c>
      <c r="H162">
        <v>137.30000000000001</v>
      </c>
      <c r="I162">
        <v>113.5</v>
      </c>
      <c r="J162">
        <v>137.19999999999999</v>
      </c>
      <c r="K162">
        <v>142.19999999999999</v>
      </c>
      <c r="L162">
        <v>128.19999999999999</v>
      </c>
      <c r="M162">
        <v>120.9</v>
      </c>
      <c r="N162">
        <v>138.80000000000001</v>
      </c>
      <c r="O162">
        <v>124.2</v>
      </c>
      <c r="P162">
        <v>143.1</v>
      </c>
      <c r="Q162">
        <v>135.69999999999999</v>
      </c>
      <c r="R162">
        <v>148.6</v>
      </c>
      <c r="S162">
        <v>131.5</v>
      </c>
      <c r="T162">
        <v>123.2</v>
      </c>
      <c r="U162">
        <v>130.19999999999999</v>
      </c>
      <c r="V162">
        <v>131.4</v>
      </c>
      <c r="W162">
        <v>119</v>
      </c>
      <c r="X162">
        <v>126.8</v>
      </c>
      <c r="Y162">
        <v>123.8</v>
      </c>
      <c r="Z162">
        <v>113.9</v>
      </c>
      <c r="AA162">
        <v>122.9</v>
      </c>
      <c r="AB162">
        <v>134.30000000000001</v>
      </c>
      <c r="AC162">
        <v>122.5</v>
      </c>
      <c r="AD162">
        <v>122.7</v>
      </c>
      <c r="AE162">
        <v>129.9</v>
      </c>
      <c r="AF162">
        <f t="shared" si="4"/>
        <v>132.94166666666669</v>
      </c>
      <c r="AG162">
        <v>148.6</v>
      </c>
      <c r="AH162">
        <f>AVERAGE(Table1[[#This Row],[Clothing]:[Footwear]])</f>
        <v>127.35</v>
      </c>
      <c r="AI162">
        <v>119</v>
      </c>
      <c r="AJ162">
        <v>126.8</v>
      </c>
      <c r="AK162">
        <v>113.9</v>
      </c>
      <c r="AL162">
        <v>122.9</v>
      </c>
      <c r="AM162" t="str">
        <f t="shared" si="5"/>
        <v>Pre-COVID</v>
      </c>
    </row>
    <row r="163" spans="1:39" x14ac:dyDescent="0.35">
      <c r="A163" t="s">
        <v>34</v>
      </c>
      <c r="B163">
        <v>2017</v>
      </c>
      <c r="C163" t="s">
        <v>39</v>
      </c>
      <c r="D163" s="4">
        <f>DATE(B163,MATCH(C163,{"January","February","March","April","May","June","July","August","September","October","November","December"},0),1)</f>
        <v>42887</v>
      </c>
      <c r="E163">
        <v>133.30000000000001</v>
      </c>
      <c r="F163">
        <v>145.5</v>
      </c>
      <c r="G163">
        <v>128.1</v>
      </c>
      <c r="H163">
        <v>138.1</v>
      </c>
      <c r="I163">
        <v>118.2</v>
      </c>
      <c r="J163">
        <v>139.19999999999999</v>
      </c>
      <c r="K163">
        <v>133.30000000000001</v>
      </c>
      <c r="L163">
        <v>136.19999999999999</v>
      </c>
      <c r="M163">
        <v>119.6</v>
      </c>
      <c r="N163">
        <v>135.30000000000001</v>
      </c>
      <c r="O163">
        <v>127.8</v>
      </c>
      <c r="P163">
        <v>144.9</v>
      </c>
      <c r="Q163">
        <v>135.19999999999999</v>
      </c>
      <c r="R163">
        <v>146.5</v>
      </c>
      <c r="S163">
        <v>138.5</v>
      </c>
      <c r="T163">
        <v>131.69999999999999</v>
      </c>
      <c r="U163">
        <v>137.5</v>
      </c>
      <c r="V163">
        <v>131.4</v>
      </c>
      <c r="W163">
        <v>128.80000000000001</v>
      </c>
      <c r="X163">
        <v>131.19999999999999</v>
      </c>
      <c r="Y163">
        <v>128.5</v>
      </c>
      <c r="Z163">
        <v>116.5</v>
      </c>
      <c r="AA163">
        <v>125.9</v>
      </c>
      <c r="AB163">
        <v>135.4</v>
      </c>
      <c r="AC163">
        <v>123.4</v>
      </c>
      <c r="AD163">
        <v>125.5</v>
      </c>
      <c r="AE163">
        <v>132</v>
      </c>
      <c r="AF163">
        <f t="shared" si="4"/>
        <v>133.29166666666666</v>
      </c>
      <c r="AG163">
        <v>146.5</v>
      </c>
      <c r="AH163">
        <f>AVERAGE(Table1[[#This Row],[Clothing]:[Footwear]])</f>
        <v>135.1</v>
      </c>
      <c r="AI163">
        <v>128.80000000000001</v>
      </c>
      <c r="AJ163">
        <v>131.19999999999999</v>
      </c>
      <c r="AK163">
        <v>116.5</v>
      </c>
      <c r="AL163">
        <v>125.9</v>
      </c>
      <c r="AM163" t="str">
        <f t="shared" si="5"/>
        <v>Pre-COVID</v>
      </c>
    </row>
    <row r="164" spans="1:39" x14ac:dyDescent="0.35">
      <c r="A164" t="s">
        <v>30</v>
      </c>
      <c r="B164">
        <v>2017</v>
      </c>
      <c r="C164" t="s">
        <v>40</v>
      </c>
      <c r="D164" s="4">
        <f>DATE(B164,MATCH(C164,{"January","February","March","April","May","June","July","August","September","October","November","December"},0),1)</f>
        <v>42917</v>
      </c>
      <c r="E164">
        <v>134</v>
      </c>
      <c r="F164">
        <v>144.19999999999999</v>
      </c>
      <c r="G164">
        <v>129.80000000000001</v>
      </c>
      <c r="H164">
        <v>139</v>
      </c>
      <c r="I164">
        <v>120.9</v>
      </c>
      <c r="J164">
        <v>143.9</v>
      </c>
      <c r="K164">
        <v>151.5</v>
      </c>
      <c r="L164">
        <v>138.1</v>
      </c>
      <c r="M164">
        <v>120</v>
      </c>
      <c r="N164">
        <v>133.9</v>
      </c>
      <c r="O164">
        <v>131.4</v>
      </c>
      <c r="P164">
        <v>147.69999999999999</v>
      </c>
      <c r="Q164">
        <v>138.5</v>
      </c>
      <c r="R164">
        <v>147.4</v>
      </c>
      <c r="S164">
        <v>144.30000000000001</v>
      </c>
      <c r="T164">
        <v>138.1</v>
      </c>
      <c r="U164">
        <v>143.5</v>
      </c>
      <c r="V164">
        <v>132.6</v>
      </c>
      <c r="W164">
        <v>135.30000000000001</v>
      </c>
      <c r="X164">
        <v>136.1</v>
      </c>
      <c r="Y164">
        <v>132.1</v>
      </c>
      <c r="Z164">
        <v>119.1</v>
      </c>
      <c r="AA164">
        <v>130.6</v>
      </c>
      <c r="AB164">
        <v>138.6</v>
      </c>
      <c r="AC164">
        <v>124.4</v>
      </c>
      <c r="AD164">
        <v>128.6</v>
      </c>
      <c r="AE164">
        <v>136.19999999999999</v>
      </c>
      <c r="AF164">
        <f t="shared" si="4"/>
        <v>136.20000000000002</v>
      </c>
      <c r="AG164">
        <v>147.4</v>
      </c>
      <c r="AH164">
        <f>AVERAGE(Table1[[#This Row],[Clothing]:[Footwear]])</f>
        <v>141.19999999999999</v>
      </c>
      <c r="AI164">
        <v>135.30000000000001</v>
      </c>
      <c r="AJ164">
        <v>136.1</v>
      </c>
      <c r="AK164">
        <v>119.1</v>
      </c>
      <c r="AL164">
        <v>130.6</v>
      </c>
      <c r="AM164" t="str">
        <f t="shared" si="5"/>
        <v>Pre-COVID</v>
      </c>
    </row>
    <row r="165" spans="1:39" x14ac:dyDescent="0.35">
      <c r="A165" t="s">
        <v>33</v>
      </c>
      <c r="B165">
        <v>2017</v>
      </c>
      <c r="C165" t="s">
        <v>40</v>
      </c>
      <c r="D165" s="4">
        <f>DATE(B165,MATCH(C165,{"January","February","March","April","May","June","July","August","September","October","November","December"},0),1)</f>
        <v>42917</v>
      </c>
      <c r="E165">
        <v>132.80000000000001</v>
      </c>
      <c r="F165">
        <v>148.4</v>
      </c>
      <c r="G165">
        <v>129.4</v>
      </c>
      <c r="H165">
        <v>137.69999999999999</v>
      </c>
      <c r="I165">
        <v>113.4</v>
      </c>
      <c r="J165">
        <v>139.4</v>
      </c>
      <c r="K165">
        <v>175.1</v>
      </c>
      <c r="L165">
        <v>124.7</v>
      </c>
      <c r="M165">
        <v>121.5</v>
      </c>
      <c r="N165">
        <v>137.80000000000001</v>
      </c>
      <c r="O165">
        <v>124.4</v>
      </c>
      <c r="P165">
        <v>143.69999999999999</v>
      </c>
      <c r="Q165">
        <v>139.80000000000001</v>
      </c>
      <c r="R165">
        <v>150.5</v>
      </c>
      <c r="S165">
        <v>131.6</v>
      </c>
      <c r="T165">
        <v>123.7</v>
      </c>
      <c r="U165">
        <v>130.4</v>
      </c>
      <c r="V165">
        <v>132.6</v>
      </c>
      <c r="W165">
        <v>119.7</v>
      </c>
      <c r="X165">
        <v>127.2</v>
      </c>
      <c r="Y165">
        <v>125</v>
      </c>
      <c r="Z165">
        <v>113.2</v>
      </c>
      <c r="AA165">
        <v>123.5</v>
      </c>
      <c r="AB165">
        <v>135.5</v>
      </c>
      <c r="AC165">
        <v>122.4</v>
      </c>
      <c r="AD165">
        <v>123</v>
      </c>
      <c r="AE165">
        <v>131.80000000000001</v>
      </c>
      <c r="AF165">
        <f t="shared" si="4"/>
        <v>135.69166666666666</v>
      </c>
      <c r="AG165">
        <v>150.5</v>
      </c>
      <c r="AH165">
        <f>AVERAGE(Table1[[#This Row],[Clothing]:[Footwear]])</f>
        <v>127.65</v>
      </c>
      <c r="AI165">
        <v>119.7</v>
      </c>
      <c r="AJ165">
        <v>127.2</v>
      </c>
      <c r="AK165">
        <v>113.2</v>
      </c>
      <c r="AL165">
        <v>123.5</v>
      </c>
      <c r="AM165" t="str">
        <f t="shared" si="5"/>
        <v>Pre-COVID</v>
      </c>
    </row>
    <row r="166" spans="1:39" x14ac:dyDescent="0.35">
      <c r="A166" t="s">
        <v>34</v>
      </c>
      <c r="B166">
        <v>2017</v>
      </c>
      <c r="C166" t="s">
        <v>40</v>
      </c>
      <c r="D166" s="4">
        <f>DATE(B166,MATCH(C166,{"January","February","March","April","May","June","July","August","September","October","November","December"},0),1)</f>
        <v>42917</v>
      </c>
      <c r="E166">
        <v>133.6</v>
      </c>
      <c r="F166">
        <v>145.69999999999999</v>
      </c>
      <c r="G166">
        <v>129.6</v>
      </c>
      <c r="H166">
        <v>138.5</v>
      </c>
      <c r="I166">
        <v>118.1</v>
      </c>
      <c r="J166">
        <v>141.80000000000001</v>
      </c>
      <c r="K166">
        <v>159.5</v>
      </c>
      <c r="L166">
        <v>133.6</v>
      </c>
      <c r="M166">
        <v>120.5</v>
      </c>
      <c r="N166">
        <v>135.19999999999999</v>
      </c>
      <c r="O166">
        <v>128.5</v>
      </c>
      <c r="P166">
        <v>145.80000000000001</v>
      </c>
      <c r="Q166">
        <v>139</v>
      </c>
      <c r="R166">
        <v>148.19999999999999</v>
      </c>
      <c r="S166">
        <v>139.30000000000001</v>
      </c>
      <c r="T166">
        <v>132.1</v>
      </c>
      <c r="U166">
        <v>138.30000000000001</v>
      </c>
      <c r="V166">
        <v>132.6</v>
      </c>
      <c r="W166">
        <v>129.4</v>
      </c>
      <c r="X166">
        <v>131.9</v>
      </c>
      <c r="Y166">
        <v>129.4</v>
      </c>
      <c r="Z166">
        <v>116</v>
      </c>
      <c r="AA166">
        <v>126.6</v>
      </c>
      <c r="AB166">
        <v>136.80000000000001</v>
      </c>
      <c r="AC166">
        <v>123.6</v>
      </c>
      <c r="AD166">
        <v>125.9</v>
      </c>
      <c r="AE166">
        <v>134.19999999999999</v>
      </c>
      <c r="AF166">
        <f t="shared" si="4"/>
        <v>135.86666666666665</v>
      </c>
      <c r="AG166">
        <v>148.19999999999999</v>
      </c>
      <c r="AH166">
        <f>AVERAGE(Table1[[#This Row],[Clothing]:[Footwear]])</f>
        <v>135.69999999999999</v>
      </c>
      <c r="AI166">
        <v>129.4</v>
      </c>
      <c r="AJ166">
        <v>131.9</v>
      </c>
      <c r="AK166">
        <v>116</v>
      </c>
      <c r="AL166">
        <v>126.6</v>
      </c>
      <c r="AM166" t="str">
        <f t="shared" si="5"/>
        <v>Pre-COVID</v>
      </c>
    </row>
    <row r="167" spans="1:39" x14ac:dyDescent="0.35">
      <c r="A167" t="s">
        <v>30</v>
      </c>
      <c r="B167">
        <v>2017</v>
      </c>
      <c r="C167" t="s">
        <v>41</v>
      </c>
      <c r="D167" s="4">
        <f>DATE(B167,MATCH(C167,{"January","February","March","April","May","June","July","August","September","October","November","December"},0),1)</f>
        <v>42948</v>
      </c>
      <c r="E167">
        <v>134.80000000000001</v>
      </c>
      <c r="F167">
        <v>143.1</v>
      </c>
      <c r="G167">
        <v>130</v>
      </c>
      <c r="H167">
        <v>139.4</v>
      </c>
      <c r="I167">
        <v>120.5</v>
      </c>
      <c r="J167">
        <v>148</v>
      </c>
      <c r="K167">
        <v>162.9</v>
      </c>
      <c r="L167">
        <v>137.4</v>
      </c>
      <c r="M167">
        <v>120.8</v>
      </c>
      <c r="N167">
        <v>134.69999999999999</v>
      </c>
      <c r="O167">
        <v>131.6</v>
      </c>
      <c r="P167">
        <v>148.69999999999999</v>
      </c>
      <c r="Q167">
        <v>140.6</v>
      </c>
      <c r="R167">
        <v>149</v>
      </c>
      <c r="S167">
        <v>145.30000000000001</v>
      </c>
      <c r="T167">
        <v>139.19999999999999</v>
      </c>
      <c r="U167">
        <v>144.5</v>
      </c>
      <c r="V167">
        <v>134.4</v>
      </c>
      <c r="W167">
        <v>136.4</v>
      </c>
      <c r="X167">
        <v>137.30000000000001</v>
      </c>
      <c r="Y167">
        <v>133</v>
      </c>
      <c r="Z167">
        <v>120.3</v>
      </c>
      <c r="AA167">
        <v>131.5</v>
      </c>
      <c r="AB167">
        <v>140.19999999999999</v>
      </c>
      <c r="AC167">
        <v>125.4</v>
      </c>
      <c r="AD167">
        <v>129.69999999999999</v>
      </c>
      <c r="AE167">
        <v>137.80000000000001</v>
      </c>
      <c r="AF167">
        <f t="shared" si="4"/>
        <v>137.65833333333333</v>
      </c>
      <c r="AG167">
        <v>149</v>
      </c>
      <c r="AH167">
        <f>AVERAGE(Table1[[#This Row],[Clothing]:[Footwear]])</f>
        <v>142.25</v>
      </c>
      <c r="AI167">
        <v>136.4</v>
      </c>
      <c r="AJ167">
        <v>137.30000000000001</v>
      </c>
      <c r="AK167">
        <v>120.3</v>
      </c>
      <c r="AL167">
        <v>131.5</v>
      </c>
      <c r="AM167" t="str">
        <f t="shared" si="5"/>
        <v>Pre-COVID</v>
      </c>
    </row>
    <row r="168" spans="1:39" x14ac:dyDescent="0.35">
      <c r="A168" t="s">
        <v>33</v>
      </c>
      <c r="B168">
        <v>2017</v>
      </c>
      <c r="C168" t="s">
        <v>41</v>
      </c>
      <c r="D168" s="4">
        <f>DATE(B168,MATCH(C168,{"January","February","March","April","May","June","July","August","September","October","November","December"},0),1)</f>
        <v>42948</v>
      </c>
      <c r="E168">
        <v>133.19999999999999</v>
      </c>
      <c r="F168">
        <v>143.9</v>
      </c>
      <c r="G168">
        <v>128.30000000000001</v>
      </c>
      <c r="H168">
        <v>138.30000000000001</v>
      </c>
      <c r="I168">
        <v>114.1</v>
      </c>
      <c r="J168">
        <v>142.69999999999999</v>
      </c>
      <c r="K168">
        <v>179.8</v>
      </c>
      <c r="L168">
        <v>123.5</v>
      </c>
      <c r="M168">
        <v>122.1</v>
      </c>
      <c r="N168">
        <v>137.5</v>
      </c>
      <c r="O168">
        <v>124.6</v>
      </c>
      <c r="P168">
        <v>144.5</v>
      </c>
      <c r="Q168">
        <v>140.5</v>
      </c>
      <c r="R168">
        <v>152.1</v>
      </c>
      <c r="S168">
        <v>132.69999999999999</v>
      </c>
      <c r="T168">
        <v>124.3</v>
      </c>
      <c r="U168">
        <v>131.4</v>
      </c>
      <c r="V168">
        <v>134.4</v>
      </c>
      <c r="W168">
        <v>118.9</v>
      </c>
      <c r="X168">
        <v>127.7</v>
      </c>
      <c r="Y168">
        <v>125.7</v>
      </c>
      <c r="Z168">
        <v>114.6</v>
      </c>
      <c r="AA168">
        <v>124.1</v>
      </c>
      <c r="AB168">
        <v>135.69999999999999</v>
      </c>
      <c r="AC168">
        <v>123.3</v>
      </c>
      <c r="AD168">
        <v>123.8</v>
      </c>
      <c r="AE168">
        <v>132.69999999999999</v>
      </c>
      <c r="AF168">
        <f t="shared" si="4"/>
        <v>136.04166666666666</v>
      </c>
      <c r="AG168">
        <v>152.1</v>
      </c>
      <c r="AH168">
        <f>AVERAGE(Table1[[#This Row],[Clothing]:[Footwear]])</f>
        <v>128.5</v>
      </c>
      <c r="AI168">
        <v>118.9</v>
      </c>
      <c r="AJ168">
        <v>127.7</v>
      </c>
      <c r="AK168">
        <v>114.6</v>
      </c>
      <c r="AL168">
        <v>124.1</v>
      </c>
      <c r="AM168" t="str">
        <f t="shared" si="5"/>
        <v>Pre-COVID</v>
      </c>
    </row>
    <row r="169" spans="1:39" x14ac:dyDescent="0.35">
      <c r="A169" t="s">
        <v>34</v>
      </c>
      <c r="B169">
        <v>2017</v>
      </c>
      <c r="C169" t="s">
        <v>41</v>
      </c>
      <c r="D169" s="4">
        <f>DATE(B169,MATCH(C169,{"January","February","March","April","May","June","July","August","September","October","November","December"},0),1)</f>
        <v>42948</v>
      </c>
      <c r="E169">
        <v>134.30000000000001</v>
      </c>
      <c r="F169">
        <v>143.4</v>
      </c>
      <c r="G169">
        <v>129.30000000000001</v>
      </c>
      <c r="H169">
        <v>139</v>
      </c>
      <c r="I169">
        <v>118.1</v>
      </c>
      <c r="J169">
        <v>145.5</v>
      </c>
      <c r="K169">
        <v>168.6</v>
      </c>
      <c r="L169">
        <v>132.69999999999999</v>
      </c>
      <c r="M169">
        <v>121.2</v>
      </c>
      <c r="N169">
        <v>135.6</v>
      </c>
      <c r="O169">
        <v>128.69999999999999</v>
      </c>
      <c r="P169">
        <v>146.80000000000001</v>
      </c>
      <c r="Q169">
        <v>140.6</v>
      </c>
      <c r="R169">
        <v>149.80000000000001</v>
      </c>
      <c r="S169">
        <v>140.30000000000001</v>
      </c>
      <c r="T169">
        <v>133</v>
      </c>
      <c r="U169">
        <v>139.30000000000001</v>
      </c>
      <c r="V169">
        <v>134.4</v>
      </c>
      <c r="W169">
        <v>129.80000000000001</v>
      </c>
      <c r="X169">
        <v>132.80000000000001</v>
      </c>
      <c r="Y169">
        <v>130.19999999999999</v>
      </c>
      <c r="Z169">
        <v>117.3</v>
      </c>
      <c r="AA169">
        <v>127.3</v>
      </c>
      <c r="AB169">
        <v>137.6</v>
      </c>
      <c r="AC169">
        <v>124.5</v>
      </c>
      <c r="AD169">
        <v>126.8</v>
      </c>
      <c r="AE169">
        <v>135.4</v>
      </c>
      <c r="AF169">
        <f t="shared" si="4"/>
        <v>136.93333333333334</v>
      </c>
      <c r="AG169">
        <v>149.80000000000001</v>
      </c>
      <c r="AH169">
        <f>AVERAGE(Table1[[#This Row],[Clothing]:[Footwear]])</f>
        <v>136.65</v>
      </c>
      <c r="AI169">
        <v>129.80000000000001</v>
      </c>
      <c r="AJ169">
        <v>132.80000000000001</v>
      </c>
      <c r="AK169">
        <v>117.3</v>
      </c>
      <c r="AL169">
        <v>127.3</v>
      </c>
      <c r="AM169" t="str">
        <f t="shared" si="5"/>
        <v>Pre-COVID</v>
      </c>
    </row>
    <row r="170" spans="1:39" x14ac:dyDescent="0.35">
      <c r="A170" t="s">
        <v>30</v>
      </c>
      <c r="B170">
        <v>2017</v>
      </c>
      <c r="C170" t="s">
        <v>42</v>
      </c>
      <c r="D170" s="4">
        <f>DATE(B170,MATCH(C170,{"January","February","March","April","May","June","July","August","September","October","November","December"},0),1)</f>
        <v>42979</v>
      </c>
      <c r="E170">
        <v>135.19999999999999</v>
      </c>
      <c r="F170">
        <v>142</v>
      </c>
      <c r="G170">
        <v>130.5</v>
      </c>
      <c r="H170">
        <v>140.19999999999999</v>
      </c>
      <c r="I170">
        <v>120.7</v>
      </c>
      <c r="J170">
        <v>147.80000000000001</v>
      </c>
      <c r="K170">
        <v>154.5</v>
      </c>
      <c r="L170">
        <v>137.1</v>
      </c>
      <c r="M170">
        <v>121</v>
      </c>
      <c r="N170">
        <v>134.69999999999999</v>
      </c>
      <c r="O170">
        <v>131.69999999999999</v>
      </c>
      <c r="P170">
        <v>149.30000000000001</v>
      </c>
      <c r="Q170">
        <v>139.6</v>
      </c>
      <c r="R170">
        <v>149.80000000000001</v>
      </c>
      <c r="S170">
        <v>146.1</v>
      </c>
      <c r="T170">
        <v>139.69999999999999</v>
      </c>
      <c r="U170">
        <v>145.19999999999999</v>
      </c>
      <c r="V170">
        <v>135.69999999999999</v>
      </c>
      <c r="W170">
        <v>137.4</v>
      </c>
      <c r="X170">
        <v>137.9</v>
      </c>
      <c r="Y170">
        <v>133.4</v>
      </c>
      <c r="Z170">
        <v>121.2</v>
      </c>
      <c r="AA170">
        <v>132.30000000000001</v>
      </c>
      <c r="AB170">
        <v>139.6</v>
      </c>
      <c r="AC170">
        <v>126.7</v>
      </c>
      <c r="AD170">
        <v>130.30000000000001</v>
      </c>
      <c r="AE170">
        <v>137.6</v>
      </c>
      <c r="AF170">
        <f t="shared" si="4"/>
        <v>137.05833333333334</v>
      </c>
      <c r="AG170">
        <v>149.80000000000001</v>
      </c>
      <c r="AH170">
        <f>AVERAGE(Table1[[#This Row],[Clothing]:[Footwear]])</f>
        <v>142.89999999999998</v>
      </c>
      <c r="AI170">
        <v>137.4</v>
      </c>
      <c r="AJ170">
        <v>137.9</v>
      </c>
      <c r="AK170">
        <v>121.2</v>
      </c>
      <c r="AL170">
        <v>132.30000000000001</v>
      </c>
      <c r="AM170" t="str">
        <f t="shared" si="5"/>
        <v>Pre-COVID</v>
      </c>
    </row>
    <row r="171" spans="1:39" x14ac:dyDescent="0.35">
      <c r="A171" t="s">
        <v>33</v>
      </c>
      <c r="B171">
        <v>2017</v>
      </c>
      <c r="C171" t="s">
        <v>42</v>
      </c>
      <c r="D171" s="4">
        <f>DATE(B171,MATCH(C171,{"January","February","March","April","May","June","July","August","September","October","November","December"},0),1)</f>
        <v>42979</v>
      </c>
      <c r="E171">
        <v>133.6</v>
      </c>
      <c r="F171">
        <v>143</v>
      </c>
      <c r="G171">
        <v>129.69999999999999</v>
      </c>
      <c r="H171">
        <v>138.69999999999999</v>
      </c>
      <c r="I171">
        <v>114.5</v>
      </c>
      <c r="J171">
        <v>137.5</v>
      </c>
      <c r="K171">
        <v>160.69999999999999</v>
      </c>
      <c r="L171">
        <v>124.5</v>
      </c>
      <c r="M171">
        <v>122.4</v>
      </c>
      <c r="N171">
        <v>137.30000000000001</v>
      </c>
      <c r="O171">
        <v>124.8</v>
      </c>
      <c r="P171">
        <v>145</v>
      </c>
      <c r="Q171">
        <v>138</v>
      </c>
      <c r="R171">
        <v>153.6</v>
      </c>
      <c r="S171">
        <v>133.30000000000001</v>
      </c>
      <c r="T171">
        <v>124.6</v>
      </c>
      <c r="U171">
        <v>132</v>
      </c>
      <c r="V171">
        <v>135.69999999999999</v>
      </c>
      <c r="W171">
        <v>120.6</v>
      </c>
      <c r="X171">
        <v>128.1</v>
      </c>
      <c r="Y171">
        <v>126.1</v>
      </c>
      <c r="Z171">
        <v>115.7</v>
      </c>
      <c r="AA171">
        <v>124.5</v>
      </c>
      <c r="AB171">
        <v>135.9</v>
      </c>
      <c r="AC171">
        <v>124.4</v>
      </c>
      <c r="AD171">
        <v>124.5</v>
      </c>
      <c r="AE171">
        <v>132.4</v>
      </c>
      <c r="AF171">
        <f t="shared" si="4"/>
        <v>134.30833333333334</v>
      </c>
      <c r="AG171">
        <v>153.6</v>
      </c>
      <c r="AH171">
        <f>AVERAGE(Table1[[#This Row],[Clothing]:[Footwear]])</f>
        <v>128.94999999999999</v>
      </c>
      <c r="AI171">
        <v>120.6</v>
      </c>
      <c r="AJ171">
        <v>128.1</v>
      </c>
      <c r="AK171">
        <v>115.7</v>
      </c>
      <c r="AL171">
        <v>124.5</v>
      </c>
      <c r="AM171" t="str">
        <f t="shared" si="5"/>
        <v>Pre-COVID</v>
      </c>
    </row>
    <row r="172" spans="1:39" x14ac:dyDescent="0.35">
      <c r="A172" t="s">
        <v>34</v>
      </c>
      <c r="B172">
        <v>2017</v>
      </c>
      <c r="C172" t="s">
        <v>42</v>
      </c>
      <c r="D172" s="4">
        <f>DATE(B172,MATCH(C172,{"January","February","March","April","May","June","July","August","September","October","November","December"},0),1)</f>
        <v>42979</v>
      </c>
      <c r="E172">
        <v>134.69999999999999</v>
      </c>
      <c r="F172">
        <v>142.4</v>
      </c>
      <c r="G172">
        <v>130.19999999999999</v>
      </c>
      <c r="H172">
        <v>139.6</v>
      </c>
      <c r="I172">
        <v>118.4</v>
      </c>
      <c r="J172">
        <v>143</v>
      </c>
      <c r="K172">
        <v>156.6</v>
      </c>
      <c r="L172">
        <v>132.9</v>
      </c>
      <c r="M172">
        <v>121.5</v>
      </c>
      <c r="N172">
        <v>135.6</v>
      </c>
      <c r="O172">
        <v>128.80000000000001</v>
      </c>
      <c r="P172">
        <v>147.30000000000001</v>
      </c>
      <c r="Q172">
        <v>139</v>
      </c>
      <c r="R172">
        <v>150.80000000000001</v>
      </c>
      <c r="S172">
        <v>141.1</v>
      </c>
      <c r="T172">
        <v>133.4</v>
      </c>
      <c r="U172">
        <v>140</v>
      </c>
      <c r="V172">
        <v>135.69999999999999</v>
      </c>
      <c r="W172">
        <v>131</v>
      </c>
      <c r="X172">
        <v>133.30000000000001</v>
      </c>
      <c r="Y172">
        <v>130.6</v>
      </c>
      <c r="Z172">
        <v>118.3</v>
      </c>
      <c r="AA172">
        <v>127.9</v>
      </c>
      <c r="AB172">
        <v>137.4</v>
      </c>
      <c r="AC172">
        <v>125.7</v>
      </c>
      <c r="AD172">
        <v>127.5</v>
      </c>
      <c r="AE172">
        <v>135.19999999999999</v>
      </c>
      <c r="AF172">
        <f t="shared" si="4"/>
        <v>135.91666666666666</v>
      </c>
      <c r="AG172">
        <v>150.80000000000001</v>
      </c>
      <c r="AH172">
        <f>AVERAGE(Table1[[#This Row],[Clothing]:[Footwear]])</f>
        <v>137.25</v>
      </c>
      <c r="AI172">
        <v>131</v>
      </c>
      <c r="AJ172">
        <v>133.30000000000001</v>
      </c>
      <c r="AK172">
        <v>118.3</v>
      </c>
      <c r="AL172">
        <v>127.9</v>
      </c>
      <c r="AM172" t="str">
        <f t="shared" si="5"/>
        <v>Pre-COVID</v>
      </c>
    </row>
    <row r="173" spans="1:39" x14ac:dyDescent="0.35">
      <c r="A173" t="s">
        <v>30</v>
      </c>
      <c r="B173">
        <v>2017</v>
      </c>
      <c r="C173" t="s">
        <v>43</v>
      </c>
      <c r="D173" s="4">
        <f>DATE(B173,MATCH(C173,{"January","February","March","April","May","June","July","August","September","October","November","December"},0),1)</f>
        <v>43009</v>
      </c>
      <c r="E173">
        <v>135.9</v>
      </c>
      <c r="F173">
        <v>141.9</v>
      </c>
      <c r="G173">
        <v>131</v>
      </c>
      <c r="H173">
        <v>141.5</v>
      </c>
      <c r="I173">
        <v>121.4</v>
      </c>
      <c r="J173">
        <v>146.69999999999999</v>
      </c>
      <c r="K173">
        <v>157.1</v>
      </c>
      <c r="L173">
        <v>136.4</v>
      </c>
      <c r="M173">
        <v>121.4</v>
      </c>
      <c r="N173">
        <v>135.6</v>
      </c>
      <c r="O173">
        <v>131.30000000000001</v>
      </c>
      <c r="P173">
        <v>150.30000000000001</v>
      </c>
      <c r="Q173">
        <v>140.4</v>
      </c>
      <c r="R173">
        <v>150.5</v>
      </c>
      <c r="S173">
        <v>147.19999999999999</v>
      </c>
      <c r="T173">
        <v>140.6</v>
      </c>
      <c r="U173">
        <v>146.19999999999999</v>
      </c>
      <c r="V173">
        <v>137.30000000000001</v>
      </c>
      <c r="W173">
        <v>138.1</v>
      </c>
      <c r="X173">
        <v>138.4</v>
      </c>
      <c r="Y173">
        <v>134.19999999999999</v>
      </c>
      <c r="Z173">
        <v>121</v>
      </c>
      <c r="AA173">
        <v>133</v>
      </c>
      <c r="AB173">
        <v>140.1</v>
      </c>
      <c r="AC173">
        <v>127.4</v>
      </c>
      <c r="AD173">
        <v>130.69999999999999</v>
      </c>
      <c r="AE173">
        <v>138.30000000000001</v>
      </c>
      <c r="AF173">
        <f t="shared" si="4"/>
        <v>137.54166666666666</v>
      </c>
      <c r="AG173">
        <v>150.5</v>
      </c>
      <c r="AH173">
        <f>AVERAGE(Table1[[#This Row],[Clothing]:[Footwear]])</f>
        <v>143.89999999999998</v>
      </c>
      <c r="AI173">
        <v>138.1</v>
      </c>
      <c r="AJ173">
        <v>138.4</v>
      </c>
      <c r="AK173">
        <v>121</v>
      </c>
      <c r="AL173">
        <v>133</v>
      </c>
      <c r="AM173" t="str">
        <f t="shared" si="5"/>
        <v>Pre-COVID</v>
      </c>
    </row>
    <row r="174" spans="1:39" x14ac:dyDescent="0.35">
      <c r="A174" t="s">
        <v>33</v>
      </c>
      <c r="B174">
        <v>2017</v>
      </c>
      <c r="C174" t="s">
        <v>43</v>
      </c>
      <c r="D174" s="4">
        <f>DATE(B174,MATCH(C174,{"January","February","March","April","May","June","July","August","September","October","November","December"},0),1)</f>
        <v>43009</v>
      </c>
      <c r="E174">
        <v>133.9</v>
      </c>
      <c r="F174">
        <v>142.80000000000001</v>
      </c>
      <c r="G174">
        <v>131.4</v>
      </c>
      <c r="H174">
        <v>139.1</v>
      </c>
      <c r="I174">
        <v>114.9</v>
      </c>
      <c r="J174">
        <v>135.6</v>
      </c>
      <c r="K174">
        <v>173.2</v>
      </c>
      <c r="L174">
        <v>124.1</v>
      </c>
      <c r="M174">
        <v>122.6</v>
      </c>
      <c r="N174">
        <v>137.80000000000001</v>
      </c>
      <c r="O174">
        <v>125.1</v>
      </c>
      <c r="P174">
        <v>145.5</v>
      </c>
      <c r="Q174">
        <v>139.69999999999999</v>
      </c>
      <c r="R174">
        <v>154.6</v>
      </c>
      <c r="S174">
        <v>134</v>
      </c>
      <c r="T174">
        <v>124.9</v>
      </c>
      <c r="U174">
        <v>132.6</v>
      </c>
      <c r="V174">
        <v>137.30000000000001</v>
      </c>
      <c r="W174">
        <v>122.6</v>
      </c>
      <c r="X174">
        <v>128.30000000000001</v>
      </c>
      <c r="Y174">
        <v>126.6</v>
      </c>
      <c r="Z174">
        <v>115</v>
      </c>
      <c r="AA174">
        <v>124.8</v>
      </c>
      <c r="AB174">
        <v>136.30000000000001</v>
      </c>
      <c r="AC174">
        <v>124.6</v>
      </c>
      <c r="AD174">
        <v>124.5</v>
      </c>
      <c r="AE174">
        <v>133.5</v>
      </c>
      <c r="AF174">
        <f t="shared" si="4"/>
        <v>135.49999999999997</v>
      </c>
      <c r="AG174">
        <v>154.6</v>
      </c>
      <c r="AH174">
        <f>AVERAGE(Table1[[#This Row],[Clothing]:[Footwear]])</f>
        <v>129.44999999999999</v>
      </c>
      <c r="AI174">
        <v>122.6</v>
      </c>
      <c r="AJ174">
        <v>128.30000000000001</v>
      </c>
      <c r="AK174">
        <v>115</v>
      </c>
      <c r="AL174">
        <v>124.8</v>
      </c>
      <c r="AM174" t="str">
        <f t="shared" si="5"/>
        <v>Pre-COVID</v>
      </c>
    </row>
    <row r="175" spans="1:39" x14ac:dyDescent="0.35">
      <c r="A175" t="s">
        <v>34</v>
      </c>
      <c r="B175">
        <v>2017</v>
      </c>
      <c r="C175" t="s">
        <v>43</v>
      </c>
      <c r="D175" s="4">
        <f>DATE(B175,MATCH(C175,{"January","February","March","April","May","June","July","August","September","October","November","December"},0),1)</f>
        <v>43009</v>
      </c>
      <c r="E175">
        <v>135.30000000000001</v>
      </c>
      <c r="F175">
        <v>142.19999999999999</v>
      </c>
      <c r="G175">
        <v>131.19999999999999</v>
      </c>
      <c r="H175">
        <v>140.6</v>
      </c>
      <c r="I175">
        <v>119</v>
      </c>
      <c r="J175">
        <v>141.5</v>
      </c>
      <c r="K175">
        <v>162.6</v>
      </c>
      <c r="L175">
        <v>132.30000000000001</v>
      </c>
      <c r="M175">
        <v>121.8</v>
      </c>
      <c r="N175">
        <v>136.30000000000001</v>
      </c>
      <c r="O175">
        <v>128.69999999999999</v>
      </c>
      <c r="P175">
        <v>148.1</v>
      </c>
      <c r="Q175">
        <v>140.1</v>
      </c>
      <c r="R175">
        <v>151.6</v>
      </c>
      <c r="S175">
        <v>142</v>
      </c>
      <c r="T175">
        <v>134.1</v>
      </c>
      <c r="U175">
        <v>140.80000000000001</v>
      </c>
      <c r="V175">
        <v>137.30000000000001</v>
      </c>
      <c r="W175">
        <v>132.19999999999999</v>
      </c>
      <c r="X175">
        <v>133.6</v>
      </c>
      <c r="Y175">
        <v>131.30000000000001</v>
      </c>
      <c r="Z175">
        <v>117.8</v>
      </c>
      <c r="AA175">
        <v>128.4</v>
      </c>
      <c r="AB175">
        <v>137.9</v>
      </c>
      <c r="AC175">
        <v>126.2</v>
      </c>
      <c r="AD175">
        <v>127.7</v>
      </c>
      <c r="AE175">
        <v>136.1</v>
      </c>
      <c r="AF175">
        <f t="shared" si="4"/>
        <v>136.63333333333333</v>
      </c>
      <c r="AG175">
        <v>151.6</v>
      </c>
      <c r="AH175">
        <f>AVERAGE(Table1[[#This Row],[Clothing]:[Footwear]])</f>
        <v>138.05000000000001</v>
      </c>
      <c r="AI175">
        <v>132.19999999999999</v>
      </c>
      <c r="AJ175">
        <v>133.6</v>
      </c>
      <c r="AK175">
        <v>117.8</v>
      </c>
      <c r="AL175">
        <v>128.4</v>
      </c>
      <c r="AM175" t="str">
        <f t="shared" si="5"/>
        <v>Pre-COVID</v>
      </c>
    </row>
    <row r="176" spans="1:39" x14ac:dyDescent="0.35">
      <c r="A176" t="s">
        <v>30</v>
      </c>
      <c r="B176">
        <v>2017</v>
      </c>
      <c r="C176" t="s">
        <v>45</v>
      </c>
      <c r="D176" s="4">
        <f>DATE(B176,MATCH(C176,{"January","February","March","April","May","June","July","August","September","October","November","December"},0),1)</f>
        <v>43040</v>
      </c>
      <c r="E176">
        <v>136.30000000000001</v>
      </c>
      <c r="F176">
        <v>142.5</v>
      </c>
      <c r="G176">
        <v>140.5</v>
      </c>
      <c r="H176">
        <v>141.5</v>
      </c>
      <c r="I176">
        <v>121.6</v>
      </c>
      <c r="J176">
        <v>147.30000000000001</v>
      </c>
      <c r="K176">
        <v>168</v>
      </c>
      <c r="L176">
        <v>135.80000000000001</v>
      </c>
      <c r="M176">
        <v>122.5</v>
      </c>
      <c r="N176">
        <v>136</v>
      </c>
      <c r="O176">
        <v>131.9</v>
      </c>
      <c r="P176">
        <v>151.4</v>
      </c>
      <c r="Q176">
        <v>142.4</v>
      </c>
      <c r="R176">
        <v>152.1</v>
      </c>
      <c r="S176">
        <v>148.19999999999999</v>
      </c>
      <c r="T176">
        <v>141.5</v>
      </c>
      <c r="U176">
        <v>147.30000000000001</v>
      </c>
      <c r="V176">
        <v>138.6</v>
      </c>
      <c r="W176">
        <v>141.1</v>
      </c>
      <c r="X176">
        <v>139.4</v>
      </c>
      <c r="Y176">
        <v>135.80000000000001</v>
      </c>
      <c r="Z176">
        <v>121.6</v>
      </c>
      <c r="AA176">
        <v>133.69999999999999</v>
      </c>
      <c r="AB176">
        <v>141.5</v>
      </c>
      <c r="AC176">
        <v>128.1</v>
      </c>
      <c r="AD176">
        <v>131.69999999999999</v>
      </c>
      <c r="AE176">
        <v>140</v>
      </c>
      <c r="AF176">
        <f t="shared" si="4"/>
        <v>139.60833333333335</v>
      </c>
      <c r="AG176">
        <v>152.1</v>
      </c>
      <c r="AH176">
        <f>AVERAGE(Table1[[#This Row],[Clothing]:[Footwear]])</f>
        <v>144.85</v>
      </c>
      <c r="AI176">
        <v>141.1</v>
      </c>
      <c r="AJ176">
        <v>139.4</v>
      </c>
      <c r="AK176">
        <v>121.6</v>
      </c>
      <c r="AL176">
        <v>133.69999999999999</v>
      </c>
      <c r="AM176" t="str">
        <f t="shared" si="5"/>
        <v>Pre-COVID</v>
      </c>
    </row>
    <row r="177" spans="1:39" x14ac:dyDescent="0.35">
      <c r="A177" t="s">
        <v>33</v>
      </c>
      <c r="B177">
        <v>2017</v>
      </c>
      <c r="C177" t="s">
        <v>45</v>
      </c>
      <c r="D177" s="4">
        <f>DATE(B177,MATCH(C177,{"January","February","March","April","May","June","July","August","September","October","November","December"},0),1)</f>
        <v>43040</v>
      </c>
      <c r="E177">
        <v>134.30000000000001</v>
      </c>
      <c r="F177">
        <v>142.1</v>
      </c>
      <c r="G177">
        <v>146.69999999999999</v>
      </c>
      <c r="H177">
        <v>139.5</v>
      </c>
      <c r="I177">
        <v>115.2</v>
      </c>
      <c r="J177">
        <v>136.4</v>
      </c>
      <c r="K177">
        <v>185.2</v>
      </c>
      <c r="L177">
        <v>122.2</v>
      </c>
      <c r="M177">
        <v>123.9</v>
      </c>
      <c r="N177">
        <v>138.30000000000001</v>
      </c>
      <c r="O177">
        <v>125.4</v>
      </c>
      <c r="P177">
        <v>146</v>
      </c>
      <c r="Q177">
        <v>141.5</v>
      </c>
      <c r="R177">
        <v>156.19999999999999</v>
      </c>
      <c r="S177">
        <v>135</v>
      </c>
      <c r="T177">
        <v>125.4</v>
      </c>
      <c r="U177">
        <v>133.5</v>
      </c>
      <c r="V177">
        <v>138.6</v>
      </c>
      <c r="W177">
        <v>125.7</v>
      </c>
      <c r="X177">
        <v>128.80000000000001</v>
      </c>
      <c r="Y177">
        <v>127.4</v>
      </c>
      <c r="Z177">
        <v>115.3</v>
      </c>
      <c r="AA177">
        <v>125.1</v>
      </c>
      <c r="AB177">
        <v>136.6</v>
      </c>
      <c r="AC177">
        <v>124.9</v>
      </c>
      <c r="AD177">
        <v>124.9</v>
      </c>
      <c r="AE177">
        <v>134.80000000000001</v>
      </c>
      <c r="AF177">
        <f t="shared" si="4"/>
        <v>137.93333333333334</v>
      </c>
      <c r="AG177">
        <v>156.19999999999999</v>
      </c>
      <c r="AH177">
        <f>AVERAGE(Table1[[#This Row],[Clothing]:[Footwear]])</f>
        <v>130.19999999999999</v>
      </c>
      <c r="AI177">
        <v>125.7</v>
      </c>
      <c r="AJ177">
        <v>128.80000000000001</v>
      </c>
      <c r="AK177">
        <v>115.3</v>
      </c>
      <c r="AL177">
        <v>125.1</v>
      </c>
      <c r="AM177" t="str">
        <f t="shared" si="5"/>
        <v>Pre-COVID</v>
      </c>
    </row>
    <row r="178" spans="1:39" x14ac:dyDescent="0.35">
      <c r="A178" t="s">
        <v>34</v>
      </c>
      <c r="B178">
        <v>2017</v>
      </c>
      <c r="C178" t="s">
        <v>45</v>
      </c>
      <c r="D178" s="4">
        <f>DATE(B178,MATCH(C178,{"January","February","March","April","May","June","July","August","September","October","November","December"},0),1)</f>
        <v>43040</v>
      </c>
      <c r="E178">
        <v>135.69999999999999</v>
      </c>
      <c r="F178">
        <v>142.4</v>
      </c>
      <c r="G178">
        <v>142.9</v>
      </c>
      <c r="H178">
        <v>140.80000000000001</v>
      </c>
      <c r="I178">
        <v>119.2</v>
      </c>
      <c r="J178">
        <v>142.19999999999999</v>
      </c>
      <c r="K178">
        <v>173.8</v>
      </c>
      <c r="L178">
        <v>131.19999999999999</v>
      </c>
      <c r="M178">
        <v>123</v>
      </c>
      <c r="N178">
        <v>136.80000000000001</v>
      </c>
      <c r="O178">
        <v>129.19999999999999</v>
      </c>
      <c r="P178">
        <v>148.9</v>
      </c>
      <c r="Q178">
        <v>142.1</v>
      </c>
      <c r="R178">
        <v>153.19999999999999</v>
      </c>
      <c r="S178">
        <v>143</v>
      </c>
      <c r="T178">
        <v>134.80000000000001</v>
      </c>
      <c r="U178">
        <v>141.80000000000001</v>
      </c>
      <c r="V178">
        <v>138.6</v>
      </c>
      <c r="W178">
        <v>135.30000000000001</v>
      </c>
      <c r="X178">
        <v>134.4</v>
      </c>
      <c r="Y178">
        <v>132.6</v>
      </c>
      <c r="Z178">
        <v>118.3</v>
      </c>
      <c r="AA178">
        <v>128.9</v>
      </c>
      <c r="AB178">
        <v>138.6</v>
      </c>
      <c r="AC178">
        <v>126.8</v>
      </c>
      <c r="AD178">
        <v>128.4</v>
      </c>
      <c r="AE178">
        <v>137.6</v>
      </c>
      <c r="AF178">
        <f t="shared" si="4"/>
        <v>138.84166666666667</v>
      </c>
      <c r="AG178">
        <v>153.19999999999999</v>
      </c>
      <c r="AH178">
        <f>AVERAGE(Table1[[#This Row],[Clothing]:[Footwear]])</f>
        <v>138.9</v>
      </c>
      <c r="AI178">
        <v>135.30000000000001</v>
      </c>
      <c r="AJ178">
        <v>134.4</v>
      </c>
      <c r="AK178">
        <v>118.3</v>
      </c>
      <c r="AL178">
        <v>128.9</v>
      </c>
      <c r="AM178" t="str">
        <f t="shared" si="5"/>
        <v>Pre-COVID</v>
      </c>
    </row>
    <row r="179" spans="1:39" x14ac:dyDescent="0.35">
      <c r="A179" t="s">
        <v>30</v>
      </c>
      <c r="B179">
        <v>2017</v>
      </c>
      <c r="C179" t="s">
        <v>46</v>
      </c>
      <c r="D179" s="4">
        <f>DATE(B179,MATCH(C179,{"January","February","March","April","May","June","July","August","September","October","November","December"},0),1)</f>
        <v>43070</v>
      </c>
      <c r="E179">
        <v>136.4</v>
      </c>
      <c r="F179">
        <v>143.69999999999999</v>
      </c>
      <c r="G179">
        <v>144.80000000000001</v>
      </c>
      <c r="H179">
        <v>141.9</v>
      </c>
      <c r="I179">
        <v>123.1</v>
      </c>
      <c r="J179">
        <v>147.19999999999999</v>
      </c>
      <c r="K179">
        <v>161</v>
      </c>
      <c r="L179">
        <v>133.80000000000001</v>
      </c>
      <c r="M179">
        <v>121.9</v>
      </c>
      <c r="N179">
        <v>135.80000000000001</v>
      </c>
      <c r="O179">
        <v>131.1</v>
      </c>
      <c r="P179">
        <v>151.4</v>
      </c>
      <c r="Q179">
        <v>141.5</v>
      </c>
      <c r="R179">
        <v>153.19999999999999</v>
      </c>
      <c r="S179">
        <v>148</v>
      </c>
      <c r="T179">
        <v>141.9</v>
      </c>
      <c r="U179">
        <v>147.19999999999999</v>
      </c>
      <c r="V179">
        <v>139.1</v>
      </c>
      <c r="W179">
        <v>142.6</v>
      </c>
      <c r="X179">
        <v>139.5</v>
      </c>
      <c r="Y179">
        <v>136.1</v>
      </c>
      <c r="Z179">
        <v>122</v>
      </c>
      <c r="AA179">
        <v>133.4</v>
      </c>
      <c r="AB179">
        <v>141.1</v>
      </c>
      <c r="AC179">
        <v>127.8</v>
      </c>
      <c r="AD179">
        <v>131.9</v>
      </c>
      <c r="AE179">
        <v>139.80000000000001</v>
      </c>
      <c r="AF179">
        <f t="shared" si="4"/>
        <v>139.34166666666667</v>
      </c>
      <c r="AG179">
        <v>153.19999999999999</v>
      </c>
      <c r="AH179">
        <f>AVERAGE(Table1[[#This Row],[Clothing]:[Footwear]])</f>
        <v>144.94999999999999</v>
      </c>
      <c r="AI179">
        <v>142.6</v>
      </c>
      <c r="AJ179">
        <v>139.5</v>
      </c>
      <c r="AK179">
        <v>122</v>
      </c>
      <c r="AL179">
        <v>133.4</v>
      </c>
      <c r="AM179" t="str">
        <f t="shared" si="5"/>
        <v>Pre-COVID</v>
      </c>
    </row>
    <row r="180" spans="1:39" x14ac:dyDescent="0.35">
      <c r="A180" t="s">
        <v>33</v>
      </c>
      <c r="B180">
        <v>2017</v>
      </c>
      <c r="C180" t="s">
        <v>46</v>
      </c>
      <c r="D180" s="4">
        <f>DATE(B180,MATCH(C180,{"January","February","March","April","May","June","July","August","September","October","November","December"},0),1)</f>
        <v>43070</v>
      </c>
      <c r="E180">
        <v>134.4</v>
      </c>
      <c r="F180">
        <v>142.6</v>
      </c>
      <c r="G180">
        <v>145.9</v>
      </c>
      <c r="H180">
        <v>139.5</v>
      </c>
      <c r="I180">
        <v>115.9</v>
      </c>
      <c r="J180">
        <v>135</v>
      </c>
      <c r="K180">
        <v>163.19999999999999</v>
      </c>
      <c r="L180">
        <v>119.8</v>
      </c>
      <c r="M180">
        <v>120.7</v>
      </c>
      <c r="N180">
        <v>139.69999999999999</v>
      </c>
      <c r="O180">
        <v>125.7</v>
      </c>
      <c r="P180">
        <v>146.30000000000001</v>
      </c>
      <c r="Q180">
        <v>138.80000000000001</v>
      </c>
      <c r="R180">
        <v>157</v>
      </c>
      <c r="S180">
        <v>135.6</v>
      </c>
      <c r="T180">
        <v>125.6</v>
      </c>
      <c r="U180">
        <v>134</v>
      </c>
      <c r="V180">
        <v>139.1</v>
      </c>
      <c r="W180">
        <v>126.8</v>
      </c>
      <c r="X180">
        <v>129.30000000000001</v>
      </c>
      <c r="Y180">
        <v>128.19999999999999</v>
      </c>
      <c r="Z180">
        <v>115.3</v>
      </c>
      <c r="AA180">
        <v>125.6</v>
      </c>
      <c r="AB180">
        <v>136.69999999999999</v>
      </c>
      <c r="AC180">
        <v>124.6</v>
      </c>
      <c r="AD180">
        <v>125.1</v>
      </c>
      <c r="AE180">
        <v>134.1</v>
      </c>
      <c r="AF180">
        <f t="shared" si="4"/>
        <v>135.72499999999999</v>
      </c>
      <c r="AG180">
        <v>157</v>
      </c>
      <c r="AH180">
        <f>AVERAGE(Table1[[#This Row],[Clothing]:[Footwear]])</f>
        <v>130.6</v>
      </c>
      <c r="AI180">
        <v>126.8</v>
      </c>
      <c r="AJ180">
        <v>129.30000000000001</v>
      </c>
      <c r="AK180">
        <v>115.3</v>
      </c>
      <c r="AL180">
        <v>125.6</v>
      </c>
      <c r="AM180" t="str">
        <f t="shared" si="5"/>
        <v>Pre-COVID</v>
      </c>
    </row>
    <row r="181" spans="1:39" x14ac:dyDescent="0.35">
      <c r="A181" t="s">
        <v>34</v>
      </c>
      <c r="B181">
        <v>2017</v>
      </c>
      <c r="C181" t="s">
        <v>46</v>
      </c>
      <c r="D181" s="4">
        <f>DATE(B181,MATCH(C181,{"January","February","March","April","May","June","July","August","September","October","November","December"},0),1)</f>
        <v>43070</v>
      </c>
      <c r="E181">
        <v>135.80000000000001</v>
      </c>
      <c r="F181">
        <v>143.30000000000001</v>
      </c>
      <c r="G181">
        <v>145.19999999999999</v>
      </c>
      <c r="H181">
        <v>141</v>
      </c>
      <c r="I181">
        <v>120.5</v>
      </c>
      <c r="J181">
        <v>141.5</v>
      </c>
      <c r="K181">
        <v>161.69999999999999</v>
      </c>
      <c r="L181">
        <v>129.1</v>
      </c>
      <c r="M181">
        <v>121.5</v>
      </c>
      <c r="N181">
        <v>137.1</v>
      </c>
      <c r="O181">
        <v>128.80000000000001</v>
      </c>
      <c r="P181">
        <v>149</v>
      </c>
      <c r="Q181">
        <v>140.5</v>
      </c>
      <c r="R181">
        <v>154.19999999999999</v>
      </c>
      <c r="S181">
        <v>143.1</v>
      </c>
      <c r="T181">
        <v>135.1</v>
      </c>
      <c r="U181">
        <v>142</v>
      </c>
      <c r="V181">
        <v>139.1</v>
      </c>
      <c r="W181">
        <v>136.6</v>
      </c>
      <c r="X181">
        <v>134.69999999999999</v>
      </c>
      <c r="Y181">
        <v>133.1</v>
      </c>
      <c r="Z181">
        <v>118.5</v>
      </c>
      <c r="AA181">
        <v>129</v>
      </c>
      <c r="AB181">
        <v>138.5</v>
      </c>
      <c r="AC181">
        <v>126.5</v>
      </c>
      <c r="AD181">
        <v>128.6</v>
      </c>
      <c r="AE181">
        <v>137.19999999999999</v>
      </c>
      <c r="AF181">
        <f t="shared" si="4"/>
        <v>137.87499999999997</v>
      </c>
      <c r="AG181">
        <v>154.19999999999999</v>
      </c>
      <c r="AH181">
        <f>AVERAGE(Table1[[#This Row],[Clothing]:[Footwear]])</f>
        <v>139.1</v>
      </c>
      <c r="AI181">
        <v>136.6</v>
      </c>
      <c r="AJ181">
        <v>134.69999999999999</v>
      </c>
      <c r="AK181">
        <v>118.5</v>
      </c>
      <c r="AL181">
        <v>129</v>
      </c>
      <c r="AM181" t="str">
        <f t="shared" si="5"/>
        <v>Pre-COVID</v>
      </c>
    </row>
    <row r="182" spans="1:39" x14ac:dyDescent="0.35">
      <c r="A182" t="s">
        <v>30</v>
      </c>
      <c r="B182">
        <v>2018</v>
      </c>
      <c r="C182" t="s">
        <v>31</v>
      </c>
      <c r="D182" s="4">
        <f>DATE(B182,MATCH(C182,{"January","February","March","April","May","June","July","August","September","October","November","December"},0),1)</f>
        <v>43101</v>
      </c>
      <c r="E182">
        <v>136.6</v>
      </c>
      <c r="F182">
        <v>144.4</v>
      </c>
      <c r="G182">
        <v>143.80000000000001</v>
      </c>
      <c r="H182">
        <v>142</v>
      </c>
      <c r="I182">
        <v>123.2</v>
      </c>
      <c r="J182">
        <v>147.9</v>
      </c>
      <c r="K182">
        <v>152.1</v>
      </c>
      <c r="L182">
        <v>131.80000000000001</v>
      </c>
      <c r="M182">
        <v>119.5</v>
      </c>
      <c r="N182">
        <v>136</v>
      </c>
      <c r="O182">
        <v>131.19999999999999</v>
      </c>
      <c r="P182">
        <v>151.80000000000001</v>
      </c>
      <c r="Q182">
        <v>140.4</v>
      </c>
      <c r="R182">
        <v>153.6</v>
      </c>
      <c r="S182">
        <v>148.30000000000001</v>
      </c>
      <c r="T182">
        <v>142.30000000000001</v>
      </c>
      <c r="U182">
        <v>147.5</v>
      </c>
      <c r="V182">
        <v>140.4</v>
      </c>
      <c r="W182">
        <v>142.30000000000001</v>
      </c>
      <c r="X182">
        <v>139.80000000000001</v>
      </c>
      <c r="Y182">
        <v>136</v>
      </c>
      <c r="Z182">
        <v>122.7</v>
      </c>
      <c r="AA182">
        <v>134.30000000000001</v>
      </c>
      <c r="AB182">
        <v>141.6</v>
      </c>
      <c r="AC182">
        <v>128.6</v>
      </c>
      <c r="AD182">
        <v>132.30000000000001</v>
      </c>
      <c r="AE182">
        <v>139.30000000000001</v>
      </c>
      <c r="AF182">
        <f t="shared" si="4"/>
        <v>138.35833333333332</v>
      </c>
      <c r="AG182">
        <v>153.6</v>
      </c>
      <c r="AH182">
        <f>AVERAGE(Table1[[#This Row],[Clothing]:[Footwear]])</f>
        <v>145.30000000000001</v>
      </c>
      <c r="AI182">
        <v>142.30000000000001</v>
      </c>
      <c r="AJ182">
        <v>139.80000000000001</v>
      </c>
      <c r="AK182">
        <v>122.7</v>
      </c>
      <c r="AL182">
        <v>134.30000000000001</v>
      </c>
      <c r="AM182" t="str">
        <f t="shared" si="5"/>
        <v>Pre-COVID</v>
      </c>
    </row>
    <row r="183" spans="1:39" x14ac:dyDescent="0.35">
      <c r="A183" t="s">
        <v>33</v>
      </c>
      <c r="B183">
        <v>2018</v>
      </c>
      <c r="C183" t="s">
        <v>31</v>
      </c>
      <c r="D183" s="4">
        <f>DATE(B183,MATCH(C183,{"January","February","March","April","May","June","July","August","September","October","November","December"},0),1)</f>
        <v>43101</v>
      </c>
      <c r="E183">
        <v>134.6</v>
      </c>
      <c r="F183">
        <v>143.69999999999999</v>
      </c>
      <c r="G183">
        <v>143.6</v>
      </c>
      <c r="H183">
        <v>139.6</v>
      </c>
      <c r="I183">
        <v>116.4</v>
      </c>
      <c r="J183">
        <v>133.80000000000001</v>
      </c>
      <c r="K183">
        <v>150.5</v>
      </c>
      <c r="L183">
        <v>118.4</v>
      </c>
      <c r="M183">
        <v>117.3</v>
      </c>
      <c r="N183">
        <v>140.5</v>
      </c>
      <c r="O183">
        <v>125.9</v>
      </c>
      <c r="P183">
        <v>146.80000000000001</v>
      </c>
      <c r="Q183">
        <v>137.19999999999999</v>
      </c>
      <c r="R183">
        <v>157.69999999999999</v>
      </c>
      <c r="S183">
        <v>136</v>
      </c>
      <c r="T183">
        <v>125.9</v>
      </c>
      <c r="U183">
        <v>134.4</v>
      </c>
      <c r="V183">
        <v>140.4</v>
      </c>
      <c r="W183">
        <v>127.3</v>
      </c>
      <c r="X183">
        <v>129.5</v>
      </c>
      <c r="Y183">
        <v>129</v>
      </c>
      <c r="Z183">
        <v>116.3</v>
      </c>
      <c r="AA183">
        <v>126.2</v>
      </c>
      <c r="AB183">
        <v>137.1</v>
      </c>
      <c r="AC183">
        <v>125.5</v>
      </c>
      <c r="AD183">
        <v>125.8</v>
      </c>
      <c r="AE183">
        <v>134.1</v>
      </c>
      <c r="AF183">
        <f t="shared" si="4"/>
        <v>134.25833333333335</v>
      </c>
      <c r="AG183">
        <v>157.69999999999999</v>
      </c>
      <c r="AH183">
        <f>AVERAGE(Table1[[#This Row],[Clothing]:[Footwear]])</f>
        <v>130.94999999999999</v>
      </c>
      <c r="AI183">
        <v>127.3</v>
      </c>
      <c r="AJ183">
        <v>129.5</v>
      </c>
      <c r="AK183">
        <v>116.3</v>
      </c>
      <c r="AL183">
        <v>126.2</v>
      </c>
      <c r="AM183" t="str">
        <f t="shared" si="5"/>
        <v>Pre-COVID</v>
      </c>
    </row>
    <row r="184" spans="1:39" x14ac:dyDescent="0.35">
      <c r="A184" t="s">
        <v>34</v>
      </c>
      <c r="B184">
        <v>2018</v>
      </c>
      <c r="C184" t="s">
        <v>31</v>
      </c>
      <c r="D184" s="4">
        <f>DATE(B184,MATCH(C184,{"January","February","March","April","May","June","July","August","September","October","November","December"},0),1)</f>
        <v>43101</v>
      </c>
      <c r="E184">
        <v>136</v>
      </c>
      <c r="F184">
        <v>144.19999999999999</v>
      </c>
      <c r="G184">
        <v>143.69999999999999</v>
      </c>
      <c r="H184">
        <v>141.1</v>
      </c>
      <c r="I184">
        <v>120.7</v>
      </c>
      <c r="J184">
        <v>141.30000000000001</v>
      </c>
      <c r="K184">
        <v>151.6</v>
      </c>
      <c r="L184">
        <v>127.3</v>
      </c>
      <c r="M184">
        <v>118.8</v>
      </c>
      <c r="N184">
        <v>137.5</v>
      </c>
      <c r="O184">
        <v>129</v>
      </c>
      <c r="P184">
        <v>149.5</v>
      </c>
      <c r="Q184">
        <v>139.19999999999999</v>
      </c>
      <c r="R184">
        <v>154.69999999999999</v>
      </c>
      <c r="S184">
        <v>143.5</v>
      </c>
      <c r="T184">
        <v>135.5</v>
      </c>
      <c r="U184">
        <v>142.30000000000001</v>
      </c>
      <c r="V184">
        <v>140.4</v>
      </c>
      <c r="W184">
        <v>136.6</v>
      </c>
      <c r="X184">
        <v>134.9</v>
      </c>
      <c r="Y184">
        <v>133.30000000000001</v>
      </c>
      <c r="Z184">
        <v>119.3</v>
      </c>
      <c r="AA184">
        <v>129.69999999999999</v>
      </c>
      <c r="AB184">
        <v>139</v>
      </c>
      <c r="AC184">
        <v>127.3</v>
      </c>
      <c r="AD184">
        <v>129.1</v>
      </c>
      <c r="AE184">
        <v>136.9</v>
      </c>
      <c r="AF184">
        <f t="shared" si="4"/>
        <v>136.72499999999999</v>
      </c>
      <c r="AG184">
        <v>154.69999999999999</v>
      </c>
      <c r="AH184">
        <f>AVERAGE(Table1[[#This Row],[Clothing]:[Footwear]])</f>
        <v>139.5</v>
      </c>
      <c r="AI184">
        <v>136.6</v>
      </c>
      <c r="AJ184">
        <v>134.9</v>
      </c>
      <c r="AK184">
        <v>119.3</v>
      </c>
      <c r="AL184">
        <v>129.69999999999999</v>
      </c>
      <c r="AM184" t="str">
        <f t="shared" si="5"/>
        <v>Pre-COVID</v>
      </c>
    </row>
    <row r="185" spans="1:39" x14ac:dyDescent="0.35">
      <c r="A185" t="s">
        <v>30</v>
      </c>
      <c r="B185">
        <v>2018</v>
      </c>
      <c r="C185" t="s">
        <v>35</v>
      </c>
      <c r="D185" s="4">
        <f>DATE(B185,MATCH(C185,{"January","February","March","April","May","June","July","August","September","October","November","December"},0),1)</f>
        <v>43132</v>
      </c>
      <c r="E185">
        <v>136.4</v>
      </c>
      <c r="F185">
        <v>143.69999999999999</v>
      </c>
      <c r="G185">
        <v>140.6</v>
      </c>
      <c r="H185">
        <v>141.5</v>
      </c>
      <c r="I185">
        <v>122.9</v>
      </c>
      <c r="J185">
        <v>149.4</v>
      </c>
      <c r="K185">
        <v>142.4</v>
      </c>
      <c r="L185">
        <v>130.19999999999999</v>
      </c>
      <c r="M185">
        <v>117.9</v>
      </c>
      <c r="N185">
        <v>135.6</v>
      </c>
      <c r="O185">
        <v>130.5</v>
      </c>
      <c r="P185">
        <v>151.69999999999999</v>
      </c>
      <c r="Q185">
        <v>138.69999999999999</v>
      </c>
      <c r="R185">
        <v>153.30000000000001</v>
      </c>
      <c r="S185">
        <v>148.69999999999999</v>
      </c>
      <c r="T185">
        <v>142.4</v>
      </c>
      <c r="U185">
        <v>147.80000000000001</v>
      </c>
      <c r="V185">
        <v>141.30000000000001</v>
      </c>
      <c r="W185">
        <v>142.4</v>
      </c>
      <c r="X185">
        <v>139.9</v>
      </c>
      <c r="Y185">
        <v>136.19999999999999</v>
      </c>
      <c r="Z185">
        <v>123.3</v>
      </c>
      <c r="AA185">
        <v>134.30000000000001</v>
      </c>
      <c r="AB185">
        <v>141.5</v>
      </c>
      <c r="AC185">
        <v>128.80000000000001</v>
      </c>
      <c r="AD185">
        <v>132.5</v>
      </c>
      <c r="AE185">
        <v>138.5</v>
      </c>
      <c r="AF185">
        <f t="shared" si="4"/>
        <v>136.9</v>
      </c>
      <c r="AG185">
        <v>153.30000000000001</v>
      </c>
      <c r="AH185">
        <f>AVERAGE(Table1[[#This Row],[Clothing]:[Footwear]])</f>
        <v>145.55000000000001</v>
      </c>
      <c r="AI185">
        <v>142.4</v>
      </c>
      <c r="AJ185">
        <v>139.9</v>
      </c>
      <c r="AK185">
        <v>123.3</v>
      </c>
      <c r="AL185">
        <v>134.30000000000001</v>
      </c>
      <c r="AM185" t="str">
        <f t="shared" si="5"/>
        <v>Pre-COVID</v>
      </c>
    </row>
    <row r="186" spans="1:39" x14ac:dyDescent="0.35">
      <c r="A186" t="s">
        <v>33</v>
      </c>
      <c r="B186">
        <v>2018</v>
      </c>
      <c r="C186" t="s">
        <v>35</v>
      </c>
      <c r="D186" s="4">
        <f>DATE(B186,MATCH(C186,{"January","February","March","April","May","June","July","August","September","October","November","December"},0),1)</f>
        <v>43132</v>
      </c>
      <c r="E186">
        <v>134.80000000000001</v>
      </c>
      <c r="F186">
        <v>143</v>
      </c>
      <c r="G186">
        <v>139.9</v>
      </c>
      <c r="H186">
        <v>139.9</v>
      </c>
      <c r="I186">
        <v>116.2</v>
      </c>
      <c r="J186">
        <v>135.5</v>
      </c>
      <c r="K186">
        <v>136.9</v>
      </c>
      <c r="L186">
        <v>117</v>
      </c>
      <c r="M186">
        <v>115.4</v>
      </c>
      <c r="N186">
        <v>140.69999999999999</v>
      </c>
      <c r="O186">
        <v>125.9</v>
      </c>
      <c r="P186">
        <v>147.1</v>
      </c>
      <c r="Q186">
        <v>135.6</v>
      </c>
      <c r="R186">
        <v>159.30000000000001</v>
      </c>
      <c r="S186">
        <v>136.30000000000001</v>
      </c>
      <c r="T186">
        <v>126.1</v>
      </c>
      <c r="U186">
        <v>134.69999999999999</v>
      </c>
      <c r="V186">
        <v>141.30000000000001</v>
      </c>
      <c r="W186">
        <v>127.3</v>
      </c>
      <c r="X186">
        <v>129.9</v>
      </c>
      <c r="Y186">
        <v>129.80000000000001</v>
      </c>
      <c r="Z186">
        <v>117.4</v>
      </c>
      <c r="AA186">
        <v>126.5</v>
      </c>
      <c r="AB186">
        <v>137.19999999999999</v>
      </c>
      <c r="AC186">
        <v>126.2</v>
      </c>
      <c r="AD186">
        <v>126.5</v>
      </c>
      <c r="AE186">
        <v>134</v>
      </c>
      <c r="AF186">
        <f t="shared" si="4"/>
        <v>132.69166666666669</v>
      </c>
      <c r="AG186">
        <v>159.30000000000001</v>
      </c>
      <c r="AH186">
        <f>AVERAGE(Table1[[#This Row],[Clothing]:[Footwear]])</f>
        <v>131.19999999999999</v>
      </c>
      <c r="AI186">
        <v>127.3</v>
      </c>
      <c r="AJ186">
        <v>129.9</v>
      </c>
      <c r="AK186">
        <v>117.4</v>
      </c>
      <c r="AL186">
        <v>126.5</v>
      </c>
      <c r="AM186" t="str">
        <f t="shared" si="5"/>
        <v>Pre-COVID</v>
      </c>
    </row>
    <row r="187" spans="1:39" x14ac:dyDescent="0.35">
      <c r="A187" t="s">
        <v>34</v>
      </c>
      <c r="B187">
        <v>2018</v>
      </c>
      <c r="C187" t="s">
        <v>35</v>
      </c>
      <c r="D187" s="4">
        <f>DATE(B187,MATCH(C187,{"January","February","March","April","May","June","July","August","September","October","November","December"},0),1)</f>
        <v>43132</v>
      </c>
      <c r="E187">
        <v>135.9</v>
      </c>
      <c r="F187">
        <v>143.5</v>
      </c>
      <c r="G187">
        <v>140.30000000000001</v>
      </c>
      <c r="H187">
        <v>140.9</v>
      </c>
      <c r="I187">
        <v>120.4</v>
      </c>
      <c r="J187">
        <v>142.9</v>
      </c>
      <c r="K187">
        <v>140.5</v>
      </c>
      <c r="L187">
        <v>125.8</v>
      </c>
      <c r="M187">
        <v>117.1</v>
      </c>
      <c r="N187">
        <v>137.30000000000001</v>
      </c>
      <c r="O187">
        <v>128.6</v>
      </c>
      <c r="P187">
        <v>149.6</v>
      </c>
      <c r="Q187">
        <v>137.6</v>
      </c>
      <c r="R187">
        <v>154.9</v>
      </c>
      <c r="S187">
        <v>143.80000000000001</v>
      </c>
      <c r="T187">
        <v>135.6</v>
      </c>
      <c r="U187">
        <v>142.6</v>
      </c>
      <c r="V187">
        <v>141.30000000000001</v>
      </c>
      <c r="W187">
        <v>136.69999999999999</v>
      </c>
      <c r="X187">
        <v>135.19999999999999</v>
      </c>
      <c r="Y187">
        <v>133.80000000000001</v>
      </c>
      <c r="Z187">
        <v>120.2</v>
      </c>
      <c r="AA187">
        <v>129.9</v>
      </c>
      <c r="AB187">
        <v>139</v>
      </c>
      <c r="AC187">
        <v>127.7</v>
      </c>
      <c r="AD187">
        <v>129.6</v>
      </c>
      <c r="AE187">
        <v>136.4</v>
      </c>
      <c r="AF187">
        <f t="shared" si="4"/>
        <v>135.23333333333332</v>
      </c>
      <c r="AG187">
        <v>154.9</v>
      </c>
      <c r="AH187">
        <f>AVERAGE(Table1[[#This Row],[Clothing]:[Footwear]])</f>
        <v>139.69999999999999</v>
      </c>
      <c r="AI187">
        <v>136.69999999999999</v>
      </c>
      <c r="AJ187">
        <v>135.19999999999999</v>
      </c>
      <c r="AK187">
        <v>120.2</v>
      </c>
      <c r="AL187">
        <v>129.9</v>
      </c>
      <c r="AM187" t="str">
        <f t="shared" si="5"/>
        <v>Pre-COVID</v>
      </c>
    </row>
    <row r="188" spans="1:39" x14ac:dyDescent="0.35">
      <c r="A188" t="s">
        <v>30</v>
      </c>
      <c r="B188">
        <v>2018</v>
      </c>
      <c r="C188" t="s">
        <v>36</v>
      </c>
      <c r="D188" s="4">
        <f>DATE(B188,MATCH(C188,{"January","February","March","April","May","June","July","August","September","October","November","December"},0),1)</f>
        <v>43160</v>
      </c>
      <c r="E188">
        <v>136.80000000000001</v>
      </c>
      <c r="F188">
        <v>143.80000000000001</v>
      </c>
      <c r="G188">
        <v>140</v>
      </c>
      <c r="H188">
        <v>142</v>
      </c>
      <c r="I188">
        <v>123.2</v>
      </c>
      <c r="J188">
        <v>152.9</v>
      </c>
      <c r="K188">
        <v>138</v>
      </c>
      <c r="L188">
        <v>129.30000000000001</v>
      </c>
      <c r="M188">
        <v>117.1</v>
      </c>
      <c r="N188">
        <v>136.30000000000001</v>
      </c>
      <c r="O188">
        <v>131.19999999999999</v>
      </c>
      <c r="P188">
        <v>152.80000000000001</v>
      </c>
      <c r="Q188">
        <v>138.6</v>
      </c>
      <c r="R188">
        <v>155.1</v>
      </c>
      <c r="S188">
        <v>149.19999999999999</v>
      </c>
      <c r="T188">
        <v>143</v>
      </c>
      <c r="U188">
        <v>148.30000000000001</v>
      </c>
      <c r="V188">
        <v>142</v>
      </c>
      <c r="W188">
        <v>142.6</v>
      </c>
      <c r="X188">
        <v>139.9</v>
      </c>
      <c r="Y188">
        <v>136.69999999999999</v>
      </c>
      <c r="Z188">
        <v>124.6</v>
      </c>
      <c r="AA188">
        <v>135.1</v>
      </c>
      <c r="AB188">
        <v>142.69999999999999</v>
      </c>
      <c r="AC188">
        <v>129.30000000000001</v>
      </c>
      <c r="AD188">
        <v>133.30000000000001</v>
      </c>
      <c r="AE188">
        <v>138.69999999999999</v>
      </c>
      <c r="AF188">
        <f t="shared" si="4"/>
        <v>136.94999999999999</v>
      </c>
      <c r="AG188">
        <v>155.1</v>
      </c>
      <c r="AH188">
        <f>AVERAGE(Table1[[#This Row],[Clothing]:[Footwear]])</f>
        <v>146.1</v>
      </c>
      <c r="AI188">
        <v>142.6</v>
      </c>
      <c r="AJ188">
        <v>139.9</v>
      </c>
      <c r="AK188">
        <v>124.6</v>
      </c>
      <c r="AL188">
        <v>135.1</v>
      </c>
      <c r="AM188" t="str">
        <f t="shared" si="5"/>
        <v>Pre-COVID</v>
      </c>
    </row>
    <row r="189" spans="1:39" x14ac:dyDescent="0.35">
      <c r="A189" t="s">
        <v>33</v>
      </c>
      <c r="B189">
        <v>2018</v>
      </c>
      <c r="C189" t="s">
        <v>36</v>
      </c>
      <c r="D189" s="4">
        <f>DATE(B189,MATCH(C189,{"January","February","March","April","May","June","July","August","September","October","November","December"},0),1)</f>
        <v>43160</v>
      </c>
      <c r="E189">
        <v>135</v>
      </c>
      <c r="F189">
        <v>143.1</v>
      </c>
      <c r="G189">
        <v>135.5</v>
      </c>
      <c r="H189">
        <v>139.9</v>
      </c>
      <c r="I189">
        <v>116.5</v>
      </c>
      <c r="J189">
        <v>138.5</v>
      </c>
      <c r="K189">
        <v>128</v>
      </c>
      <c r="L189">
        <v>115.5</v>
      </c>
      <c r="M189">
        <v>114.2</v>
      </c>
      <c r="N189">
        <v>140.69999999999999</v>
      </c>
      <c r="O189">
        <v>126.2</v>
      </c>
      <c r="P189">
        <v>147.6</v>
      </c>
      <c r="Q189">
        <v>134.80000000000001</v>
      </c>
      <c r="R189">
        <v>159.69999999999999</v>
      </c>
      <c r="S189">
        <v>136.69999999999999</v>
      </c>
      <c r="T189">
        <v>126.7</v>
      </c>
      <c r="U189">
        <v>135.19999999999999</v>
      </c>
      <c r="V189">
        <v>142</v>
      </c>
      <c r="W189">
        <v>126.4</v>
      </c>
      <c r="X189">
        <v>130.80000000000001</v>
      </c>
      <c r="Y189">
        <v>130.5</v>
      </c>
      <c r="Z189">
        <v>117.8</v>
      </c>
      <c r="AA189">
        <v>126.8</v>
      </c>
      <c r="AB189">
        <v>137.80000000000001</v>
      </c>
      <c r="AC189">
        <v>126.7</v>
      </c>
      <c r="AD189">
        <v>127.1</v>
      </c>
      <c r="AE189">
        <v>134</v>
      </c>
      <c r="AF189">
        <f t="shared" si="4"/>
        <v>131.72499999999999</v>
      </c>
      <c r="AG189">
        <v>159.69999999999999</v>
      </c>
      <c r="AH189">
        <f>AVERAGE(Table1[[#This Row],[Clothing]:[Footwear]])</f>
        <v>131.69999999999999</v>
      </c>
      <c r="AI189">
        <v>126.4</v>
      </c>
      <c r="AJ189">
        <v>130.80000000000001</v>
      </c>
      <c r="AK189">
        <v>117.8</v>
      </c>
      <c r="AL189">
        <v>126.8</v>
      </c>
      <c r="AM189" t="str">
        <f t="shared" si="5"/>
        <v>Pre-COVID</v>
      </c>
    </row>
    <row r="190" spans="1:39" x14ac:dyDescent="0.35">
      <c r="A190" t="s">
        <v>34</v>
      </c>
      <c r="B190">
        <v>2018</v>
      </c>
      <c r="C190" t="s">
        <v>36</v>
      </c>
      <c r="D190" s="4">
        <f>DATE(B190,MATCH(C190,{"January","February","March","April","May","June","July","August","September","October","November","December"},0),1)</f>
        <v>43160</v>
      </c>
      <c r="E190">
        <v>136.19999999999999</v>
      </c>
      <c r="F190">
        <v>143.6</v>
      </c>
      <c r="G190">
        <v>138.30000000000001</v>
      </c>
      <c r="H190">
        <v>141.19999999999999</v>
      </c>
      <c r="I190">
        <v>120.7</v>
      </c>
      <c r="J190">
        <v>146.19999999999999</v>
      </c>
      <c r="K190">
        <v>134.6</v>
      </c>
      <c r="L190">
        <v>124.6</v>
      </c>
      <c r="M190">
        <v>116.1</v>
      </c>
      <c r="N190">
        <v>137.80000000000001</v>
      </c>
      <c r="O190">
        <v>129.1</v>
      </c>
      <c r="P190">
        <v>150.4</v>
      </c>
      <c r="Q190">
        <v>137.19999999999999</v>
      </c>
      <c r="R190">
        <v>156.30000000000001</v>
      </c>
      <c r="S190">
        <v>144.30000000000001</v>
      </c>
      <c r="T190">
        <v>136.19999999999999</v>
      </c>
      <c r="U190">
        <v>143.1</v>
      </c>
      <c r="V190">
        <v>142</v>
      </c>
      <c r="W190">
        <v>136.5</v>
      </c>
      <c r="X190">
        <v>135.6</v>
      </c>
      <c r="Y190">
        <v>134.30000000000001</v>
      </c>
      <c r="Z190">
        <v>121</v>
      </c>
      <c r="AA190">
        <v>130.4</v>
      </c>
      <c r="AB190">
        <v>139.80000000000001</v>
      </c>
      <c r="AC190">
        <v>128.19999999999999</v>
      </c>
      <c r="AD190">
        <v>130.30000000000001</v>
      </c>
      <c r="AE190">
        <v>136.5</v>
      </c>
      <c r="AF190">
        <f t="shared" si="4"/>
        <v>134.9</v>
      </c>
      <c r="AG190">
        <v>156.30000000000001</v>
      </c>
      <c r="AH190">
        <f>AVERAGE(Table1[[#This Row],[Clothing]:[Footwear]])</f>
        <v>140.25</v>
      </c>
      <c r="AI190">
        <v>136.5</v>
      </c>
      <c r="AJ190">
        <v>135.6</v>
      </c>
      <c r="AK190">
        <v>121</v>
      </c>
      <c r="AL190">
        <v>130.4</v>
      </c>
      <c r="AM190" t="str">
        <f t="shared" si="5"/>
        <v>Pre-COVID</v>
      </c>
    </row>
    <row r="191" spans="1:39" x14ac:dyDescent="0.35">
      <c r="A191" t="s">
        <v>30</v>
      </c>
      <c r="B191">
        <v>2018</v>
      </c>
      <c r="C191" t="s">
        <v>37</v>
      </c>
      <c r="D191" s="4">
        <f>DATE(B191,MATCH(C191,{"January","February","March","April","May","June","July","August","September","October","November","December"},0),1)</f>
        <v>43191</v>
      </c>
      <c r="E191">
        <v>137.1</v>
      </c>
      <c r="F191">
        <v>144.5</v>
      </c>
      <c r="G191">
        <v>135.9</v>
      </c>
      <c r="H191">
        <v>142.4</v>
      </c>
      <c r="I191">
        <v>123.5</v>
      </c>
      <c r="J191">
        <v>156.4</v>
      </c>
      <c r="K191">
        <v>135.1</v>
      </c>
      <c r="L191">
        <v>128.4</v>
      </c>
      <c r="M191">
        <v>115.2</v>
      </c>
      <c r="N191">
        <v>137.19999999999999</v>
      </c>
      <c r="O191">
        <v>131.9</v>
      </c>
      <c r="P191">
        <v>153.80000000000001</v>
      </c>
      <c r="Q191">
        <v>138.6</v>
      </c>
      <c r="R191">
        <v>156.1</v>
      </c>
      <c r="S191">
        <v>150.1</v>
      </c>
      <c r="T191">
        <v>143.30000000000001</v>
      </c>
      <c r="U191">
        <v>149.1</v>
      </c>
      <c r="V191">
        <v>142.9</v>
      </c>
      <c r="W191">
        <v>143.80000000000001</v>
      </c>
      <c r="X191">
        <v>140.9</v>
      </c>
      <c r="Y191">
        <v>137.6</v>
      </c>
      <c r="Z191">
        <v>125.3</v>
      </c>
      <c r="AA191">
        <v>136</v>
      </c>
      <c r="AB191">
        <v>143.69999999999999</v>
      </c>
      <c r="AC191">
        <v>130.4</v>
      </c>
      <c r="AD191">
        <v>134.19999999999999</v>
      </c>
      <c r="AE191">
        <v>139.1</v>
      </c>
      <c r="AF191">
        <f t="shared" si="4"/>
        <v>136.78333333333333</v>
      </c>
      <c r="AG191">
        <v>156.1</v>
      </c>
      <c r="AH191">
        <f>AVERAGE(Table1[[#This Row],[Clothing]:[Footwear]])</f>
        <v>146.69999999999999</v>
      </c>
      <c r="AI191">
        <v>143.80000000000001</v>
      </c>
      <c r="AJ191">
        <v>140.9</v>
      </c>
      <c r="AK191">
        <v>125.3</v>
      </c>
      <c r="AL191">
        <v>136</v>
      </c>
      <c r="AM191" t="str">
        <f t="shared" si="5"/>
        <v>Pre-COVID</v>
      </c>
    </row>
    <row r="192" spans="1:39" x14ac:dyDescent="0.35">
      <c r="A192" t="s">
        <v>33</v>
      </c>
      <c r="B192">
        <v>2018</v>
      </c>
      <c r="C192" t="s">
        <v>37</v>
      </c>
      <c r="D192" s="4">
        <f>DATE(B192,MATCH(C192,{"January","February","March","April","May","June","July","August","September","October","November","December"},0),1)</f>
        <v>43191</v>
      </c>
      <c r="E192">
        <v>135</v>
      </c>
      <c r="F192">
        <v>144.30000000000001</v>
      </c>
      <c r="G192">
        <v>130.80000000000001</v>
      </c>
      <c r="H192">
        <v>140.30000000000001</v>
      </c>
      <c r="I192">
        <v>116.6</v>
      </c>
      <c r="J192">
        <v>150.1</v>
      </c>
      <c r="K192">
        <v>127.6</v>
      </c>
      <c r="L192">
        <v>114</v>
      </c>
      <c r="M192">
        <v>110.6</v>
      </c>
      <c r="N192">
        <v>140.19999999999999</v>
      </c>
      <c r="O192">
        <v>126.5</v>
      </c>
      <c r="P192">
        <v>148.30000000000001</v>
      </c>
      <c r="Q192">
        <v>135.69999999999999</v>
      </c>
      <c r="R192">
        <v>159.19999999999999</v>
      </c>
      <c r="S192">
        <v>137.80000000000001</v>
      </c>
      <c r="T192">
        <v>127.4</v>
      </c>
      <c r="U192">
        <v>136.19999999999999</v>
      </c>
      <c r="V192">
        <v>142.9</v>
      </c>
      <c r="W192">
        <v>124.6</v>
      </c>
      <c r="X192">
        <v>131.80000000000001</v>
      </c>
      <c r="Y192">
        <v>131.30000000000001</v>
      </c>
      <c r="Z192">
        <v>118.9</v>
      </c>
      <c r="AA192">
        <v>127.6</v>
      </c>
      <c r="AB192">
        <v>139.69999999999999</v>
      </c>
      <c r="AC192">
        <v>127.6</v>
      </c>
      <c r="AD192">
        <v>128.19999999999999</v>
      </c>
      <c r="AE192">
        <v>134.80000000000001</v>
      </c>
      <c r="AF192">
        <f t="shared" si="4"/>
        <v>132.02500000000001</v>
      </c>
      <c r="AG192">
        <v>159.19999999999999</v>
      </c>
      <c r="AH192">
        <f>AVERAGE(Table1[[#This Row],[Clothing]:[Footwear]])</f>
        <v>132.60000000000002</v>
      </c>
      <c r="AI192">
        <v>124.6</v>
      </c>
      <c r="AJ192">
        <v>131.80000000000001</v>
      </c>
      <c r="AK192">
        <v>118.9</v>
      </c>
      <c r="AL192">
        <v>127.6</v>
      </c>
      <c r="AM192" t="str">
        <f t="shared" si="5"/>
        <v>Pre-COVID</v>
      </c>
    </row>
    <row r="193" spans="1:39" x14ac:dyDescent="0.35">
      <c r="A193" t="s">
        <v>34</v>
      </c>
      <c r="B193">
        <v>2018</v>
      </c>
      <c r="C193" t="s">
        <v>37</v>
      </c>
      <c r="D193" s="4">
        <f>DATE(B193,MATCH(C193,{"January","February","March","April","May","June","July","August","September","October","November","December"},0),1)</f>
        <v>43191</v>
      </c>
      <c r="E193">
        <v>136.4</v>
      </c>
      <c r="F193">
        <v>144.4</v>
      </c>
      <c r="G193">
        <v>133.9</v>
      </c>
      <c r="H193">
        <v>141.6</v>
      </c>
      <c r="I193">
        <v>121</v>
      </c>
      <c r="J193">
        <v>153.5</v>
      </c>
      <c r="K193">
        <v>132.6</v>
      </c>
      <c r="L193">
        <v>123.5</v>
      </c>
      <c r="M193">
        <v>113.7</v>
      </c>
      <c r="N193">
        <v>138.19999999999999</v>
      </c>
      <c r="O193">
        <v>129.6</v>
      </c>
      <c r="P193">
        <v>151.19999999999999</v>
      </c>
      <c r="Q193">
        <v>137.5</v>
      </c>
      <c r="R193">
        <v>156.9</v>
      </c>
      <c r="S193">
        <v>145.30000000000001</v>
      </c>
      <c r="T193">
        <v>136.69999999999999</v>
      </c>
      <c r="U193">
        <v>144</v>
      </c>
      <c r="V193">
        <v>142.9</v>
      </c>
      <c r="W193">
        <v>136.5</v>
      </c>
      <c r="X193">
        <v>136.6</v>
      </c>
      <c r="Y193">
        <v>135.19999999999999</v>
      </c>
      <c r="Z193">
        <v>121.9</v>
      </c>
      <c r="AA193">
        <v>131.30000000000001</v>
      </c>
      <c r="AB193">
        <v>141.4</v>
      </c>
      <c r="AC193">
        <v>129.19999999999999</v>
      </c>
      <c r="AD193">
        <v>131.30000000000001</v>
      </c>
      <c r="AE193">
        <v>137.1</v>
      </c>
      <c r="AF193">
        <f t="shared" si="4"/>
        <v>134.96666666666667</v>
      </c>
      <c r="AG193">
        <v>156.9</v>
      </c>
      <c r="AH193">
        <f>AVERAGE(Table1[[#This Row],[Clothing]:[Footwear]])</f>
        <v>141</v>
      </c>
      <c r="AI193">
        <v>136.5</v>
      </c>
      <c r="AJ193">
        <v>136.6</v>
      </c>
      <c r="AK193">
        <v>121.9</v>
      </c>
      <c r="AL193">
        <v>131.30000000000001</v>
      </c>
      <c r="AM193" t="str">
        <f t="shared" si="5"/>
        <v>Pre-COVID</v>
      </c>
    </row>
    <row r="194" spans="1:39" x14ac:dyDescent="0.35">
      <c r="A194" t="s">
        <v>30</v>
      </c>
      <c r="B194">
        <v>2018</v>
      </c>
      <c r="C194" t="s">
        <v>38</v>
      </c>
      <c r="D194" s="4">
        <f>DATE(B194,MATCH(C194,{"January","February","March","April","May","June","July","August","September","October","November","December"},0),1)</f>
        <v>43221</v>
      </c>
      <c r="E194">
        <v>137.4</v>
      </c>
      <c r="F194">
        <v>145.69999999999999</v>
      </c>
      <c r="G194">
        <v>135.5</v>
      </c>
      <c r="H194">
        <v>142.9</v>
      </c>
      <c r="I194">
        <v>123.6</v>
      </c>
      <c r="J194">
        <v>157.5</v>
      </c>
      <c r="K194">
        <v>137.80000000000001</v>
      </c>
      <c r="L194">
        <v>127.2</v>
      </c>
      <c r="M194">
        <v>111.8</v>
      </c>
      <c r="N194">
        <v>137.4</v>
      </c>
      <c r="O194">
        <v>132.19999999999999</v>
      </c>
      <c r="P194">
        <v>154.30000000000001</v>
      </c>
      <c r="Q194">
        <v>139.1</v>
      </c>
      <c r="R194">
        <v>157</v>
      </c>
      <c r="S194">
        <v>150.80000000000001</v>
      </c>
      <c r="T194">
        <v>144.1</v>
      </c>
      <c r="U194">
        <v>149.80000000000001</v>
      </c>
      <c r="V194">
        <v>143.19999999999999</v>
      </c>
      <c r="W194">
        <v>144.30000000000001</v>
      </c>
      <c r="X194">
        <v>141.80000000000001</v>
      </c>
      <c r="Y194">
        <v>138.4</v>
      </c>
      <c r="Z194">
        <v>126.4</v>
      </c>
      <c r="AA194">
        <v>136.80000000000001</v>
      </c>
      <c r="AB194">
        <v>144.4</v>
      </c>
      <c r="AC194">
        <v>131.19999999999999</v>
      </c>
      <c r="AD194">
        <v>135.1</v>
      </c>
      <c r="AE194">
        <v>139.80000000000001</v>
      </c>
      <c r="AF194">
        <f t="shared" ref="AF194:AF257" si="6">AVERAGE(E194:P194)</f>
        <v>136.94166666666669</v>
      </c>
      <c r="AG194">
        <v>157</v>
      </c>
      <c r="AH194">
        <f>AVERAGE(Table1[[#This Row],[Clothing]:[Footwear]])</f>
        <v>147.44999999999999</v>
      </c>
      <c r="AI194">
        <v>144.30000000000001</v>
      </c>
      <c r="AJ194">
        <v>141.80000000000001</v>
      </c>
      <c r="AK194">
        <v>126.4</v>
      </c>
      <c r="AL194">
        <v>136.80000000000001</v>
      </c>
      <c r="AM194" t="str">
        <f t="shared" ref="AM194:AM257" si="7">IF(D194&lt;DATE(2020,3,1),"Pre-COVID",IF(D194=DATE(2020,3,1),"COVID Onset",IF(D194&lt;=DATE(2020,5,31),"Lockdown","Post-COVID")))</f>
        <v>Pre-COVID</v>
      </c>
    </row>
    <row r="195" spans="1:39" x14ac:dyDescent="0.35">
      <c r="A195" t="s">
        <v>33</v>
      </c>
      <c r="B195">
        <v>2018</v>
      </c>
      <c r="C195" t="s">
        <v>38</v>
      </c>
      <c r="D195" s="4">
        <f>DATE(B195,MATCH(C195,{"January","February","March","April","May","June","July","August","September","October","November","December"},0),1)</f>
        <v>43221</v>
      </c>
      <c r="E195">
        <v>135</v>
      </c>
      <c r="F195">
        <v>148.19999999999999</v>
      </c>
      <c r="G195">
        <v>130.5</v>
      </c>
      <c r="H195">
        <v>140.69999999999999</v>
      </c>
      <c r="I195">
        <v>116.4</v>
      </c>
      <c r="J195">
        <v>151.30000000000001</v>
      </c>
      <c r="K195">
        <v>131.4</v>
      </c>
      <c r="L195">
        <v>112.8</v>
      </c>
      <c r="M195">
        <v>105.3</v>
      </c>
      <c r="N195">
        <v>139.6</v>
      </c>
      <c r="O195">
        <v>126.6</v>
      </c>
      <c r="P195">
        <v>148.69999999999999</v>
      </c>
      <c r="Q195">
        <v>136.4</v>
      </c>
      <c r="R195">
        <v>160.30000000000001</v>
      </c>
      <c r="S195">
        <v>138.6</v>
      </c>
      <c r="T195">
        <v>127.9</v>
      </c>
      <c r="U195">
        <v>137</v>
      </c>
      <c r="V195">
        <v>143.19999999999999</v>
      </c>
      <c r="W195">
        <v>124.7</v>
      </c>
      <c r="X195">
        <v>132.5</v>
      </c>
      <c r="Y195">
        <v>132</v>
      </c>
      <c r="Z195">
        <v>119.8</v>
      </c>
      <c r="AA195">
        <v>128</v>
      </c>
      <c r="AB195">
        <v>140.4</v>
      </c>
      <c r="AC195">
        <v>128.1</v>
      </c>
      <c r="AD195">
        <v>128.9</v>
      </c>
      <c r="AE195">
        <v>135.4</v>
      </c>
      <c r="AF195">
        <f t="shared" si="6"/>
        <v>132.20833333333331</v>
      </c>
      <c r="AG195">
        <v>160.30000000000001</v>
      </c>
      <c r="AH195">
        <f>AVERAGE(Table1[[#This Row],[Clothing]:[Footwear]])</f>
        <v>133.25</v>
      </c>
      <c r="AI195">
        <v>124.7</v>
      </c>
      <c r="AJ195">
        <v>132.5</v>
      </c>
      <c r="AK195">
        <v>119.8</v>
      </c>
      <c r="AL195">
        <v>128</v>
      </c>
      <c r="AM195" t="str">
        <f t="shared" si="7"/>
        <v>Pre-COVID</v>
      </c>
    </row>
    <row r="196" spans="1:39" x14ac:dyDescent="0.35">
      <c r="A196" t="s">
        <v>34</v>
      </c>
      <c r="B196">
        <v>2018</v>
      </c>
      <c r="C196" t="s">
        <v>38</v>
      </c>
      <c r="D196" s="4">
        <f>DATE(B196,MATCH(C196,{"January","February","March","April","May","June","July","August","September","October","November","December"},0),1)</f>
        <v>43221</v>
      </c>
      <c r="E196">
        <v>136.6</v>
      </c>
      <c r="F196">
        <v>146.6</v>
      </c>
      <c r="G196">
        <v>133.6</v>
      </c>
      <c r="H196">
        <v>142.1</v>
      </c>
      <c r="I196">
        <v>121</v>
      </c>
      <c r="J196">
        <v>154.6</v>
      </c>
      <c r="K196">
        <v>135.6</v>
      </c>
      <c r="L196">
        <v>122.3</v>
      </c>
      <c r="M196">
        <v>109.6</v>
      </c>
      <c r="N196">
        <v>138.1</v>
      </c>
      <c r="O196">
        <v>129.9</v>
      </c>
      <c r="P196">
        <v>151.69999999999999</v>
      </c>
      <c r="Q196">
        <v>138.1</v>
      </c>
      <c r="R196">
        <v>157.9</v>
      </c>
      <c r="S196">
        <v>146</v>
      </c>
      <c r="T196">
        <v>137.4</v>
      </c>
      <c r="U196">
        <v>144.69999999999999</v>
      </c>
      <c r="V196">
        <v>143.19999999999999</v>
      </c>
      <c r="W196">
        <v>136.9</v>
      </c>
      <c r="X196">
        <v>137.4</v>
      </c>
      <c r="Y196">
        <v>136</v>
      </c>
      <c r="Z196">
        <v>122.9</v>
      </c>
      <c r="AA196">
        <v>131.80000000000001</v>
      </c>
      <c r="AB196">
        <v>142.1</v>
      </c>
      <c r="AC196">
        <v>129.9</v>
      </c>
      <c r="AD196">
        <v>132.1</v>
      </c>
      <c r="AE196">
        <v>137.80000000000001</v>
      </c>
      <c r="AF196">
        <f t="shared" si="6"/>
        <v>135.14166666666668</v>
      </c>
      <c r="AG196">
        <v>157.9</v>
      </c>
      <c r="AH196">
        <f>AVERAGE(Table1[[#This Row],[Clothing]:[Footwear]])</f>
        <v>141.69999999999999</v>
      </c>
      <c r="AI196">
        <v>136.9</v>
      </c>
      <c r="AJ196">
        <v>137.4</v>
      </c>
      <c r="AK196">
        <v>122.9</v>
      </c>
      <c r="AL196">
        <v>131.80000000000001</v>
      </c>
      <c r="AM196" t="str">
        <f t="shared" si="7"/>
        <v>Pre-COVID</v>
      </c>
    </row>
    <row r="197" spans="1:39" x14ac:dyDescent="0.35">
      <c r="A197" t="s">
        <v>30</v>
      </c>
      <c r="B197">
        <v>2018</v>
      </c>
      <c r="C197" t="s">
        <v>39</v>
      </c>
      <c r="D197" s="4">
        <f>DATE(B197,MATCH(C197,{"January","February","March","April","May","June","July","August","September","October","November","December"},0),1)</f>
        <v>43252</v>
      </c>
      <c r="E197">
        <v>137.6</v>
      </c>
      <c r="F197">
        <v>148.1</v>
      </c>
      <c r="G197">
        <v>136.69999999999999</v>
      </c>
      <c r="H197">
        <v>143.19999999999999</v>
      </c>
      <c r="I197">
        <v>124</v>
      </c>
      <c r="J197">
        <v>154.1</v>
      </c>
      <c r="K197">
        <v>143.5</v>
      </c>
      <c r="L197">
        <v>126</v>
      </c>
      <c r="M197">
        <v>112.4</v>
      </c>
      <c r="N197">
        <v>137.6</v>
      </c>
      <c r="O197">
        <v>132.80000000000001</v>
      </c>
      <c r="P197">
        <v>154.30000000000001</v>
      </c>
      <c r="Q197">
        <v>140</v>
      </c>
      <c r="R197">
        <v>157.30000000000001</v>
      </c>
      <c r="S197">
        <v>151.30000000000001</v>
      </c>
      <c r="T197">
        <v>144.69999999999999</v>
      </c>
      <c r="U197">
        <v>150.30000000000001</v>
      </c>
      <c r="V197">
        <v>142.5</v>
      </c>
      <c r="W197">
        <v>145.1</v>
      </c>
      <c r="X197">
        <v>142.19999999999999</v>
      </c>
      <c r="Y197">
        <v>138.4</v>
      </c>
      <c r="Z197">
        <v>127.4</v>
      </c>
      <c r="AA197">
        <v>137.80000000000001</v>
      </c>
      <c r="AB197">
        <v>145.1</v>
      </c>
      <c r="AC197">
        <v>131.4</v>
      </c>
      <c r="AD197">
        <v>135.6</v>
      </c>
      <c r="AE197">
        <v>140.5</v>
      </c>
      <c r="AF197">
        <f t="shared" si="6"/>
        <v>137.52499999999998</v>
      </c>
      <c r="AG197">
        <v>157.30000000000001</v>
      </c>
      <c r="AH197">
        <f>AVERAGE(Table1[[#This Row],[Clothing]:[Footwear]])</f>
        <v>148</v>
      </c>
      <c r="AI197">
        <v>145.1</v>
      </c>
      <c r="AJ197">
        <v>142.19999999999999</v>
      </c>
      <c r="AK197">
        <v>127.4</v>
      </c>
      <c r="AL197">
        <v>137.80000000000001</v>
      </c>
      <c r="AM197" t="str">
        <f t="shared" si="7"/>
        <v>Pre-COVID</v>
      </c>
    </row>
    <row r="198" spans="1:39" x14ac:dyDescent="0.35">
      <c r="A198" t="s">
        <v>33</v>
      </c>
      <c r="B198">
        <v>2018</v>
      </c>
      <c r="C198" t="s">
        <v>39</v>
      </c>
      <c r="D198" s="4">
        <f>DATE(B198,MATCH(C198,{"January","February","March","April","May","June","July","August","September","October","November","December"},0),1)</f>
        <v>43252</v>
      </c>
      <c r="E198">
        <v>135.30000000000001</v>
      </c>
      <c r="F198">
        <v>149.69999999999999</v>
      </c>
      <c r="G198">
        <v>133.9</v>
      </c>
      <c r="H198">
        <v>140.80000000000001</v>
      </c>
      <c r="I198">
        <v>116.6</v>
      </c>
      <c r="J198">
        <v>152.19999999999999</v>
      </c>
      <c r="K198">
        <v>144</v>
      </c>
      <c r="L198">
        <v>112.3</v>
      </c>
      <c r="M198">
        <v>108.4</v>
      </c>
      <c r="N198">
        <v>140</v>
      </c>
      <c r="O198">
        <v>126.7</v>
      </c>
      <c r="P198">
        <v>149</v>
      </c>
      <c r="Q198">
        <v>138.4</v>
      </c>
      <c r="R198">
        <v>161</v>
      </c>
      <c r="S198">
        <v>138.9</v>
      </c>
      <c r="T198">
        <v>128.69999999999999</v>
      </c>
      <c r="U198">
        <v>137.4</v>
      </c>
      <c r="V198">
        <v>142.5</v>
      </c>
      <c r="W198">
        <v>126.5</v>
      </c>
      <c r="X198">
        <v>133.1</v>
      </c>
      <c r="Y198">
        <v>132.6</v>
      </c>
      <c r="Z198">
        <v>120.4</v>
      </c>
      <c r="AA198">
        <v>128.5</v>
      </c>
      <c r="AB198">
        <v>141.19999999999999</v>
      </c>
      <c r="AC198">
        <v>128.19999999999999</v>
      </c>
      <c r="AD198">
        <v>129.5</v>
      </c>
      <c r="AE198">
        <v>136.19999999999999</v>
      </c>
      <c r="AF198">
        <f t="shared" si="6"/>
        <v>134.07500000000002</v>
      </c>
      <c r="AG198">
        <v>161</v>
      </c>
      <c r="AH198">
        <f>AVERAGE(Table1[[#This Row],[Clothing]:[Footwear]])</f>
        <v>133.80000000000001</v>
      </c>
      <c r="AI198">
        <v>126.5</v>
      </c>
      <c r="AJ198">
        <v>133.1</v>
      </c>
      <c r="AK198">
        <v>120.4</v>
      </c>
      <c r="AL198">
        <v>128.5</v>
      </c>
      <c r="AM198" t="str">
        <f t="shared" si="7"/>
        <v>Pre-COVID</v>
      </c>
    </row>
    <row r="199" spans="1:39" x14ac:dyDescent="0.35">
      <c r="A199" t="s">
        <v>34</v>
      </c>
      <c r="B199">
        <v>2018</v>
      </c>
      <c r="C199" t="s">
        <v>39</v>
      </c>
      <c r="D199" s="4">
        <f>DATE(B199,MATCH(C199,{"January","February","March","April","May","June","July","August","September","October","November","December"},0),1)</f>
        <v>43252</v>
      </c>
      <c r="E199">
        <v>136.9</v>
      </c>
      <c r="F199">
        <v>148.69999999999999</v>
      </c>
      <c r="G199">
        <v>135.6</v>
      </c>
      <c r="H199">
        <v>142.30000000000001</v>
      </c>
      <c r="I199">
        <v>121.3</v>
      </c>
      <c r="J199">
        <v>153.19999999999999</v>
      </c>
      <c r="K199">
        <v>143.69999999999999</v>
      </c>
      <c r="L199">
        <v>121.4</v>
      </c>
      <c r="M199">
        <v>111.1</v>
      </c>
      <c r="N199">
        <v>138.4</v>
      </c>
      <c r="O199">
        <v>130.30000000000001</v>
      </c>
      <c r="P199">
        <v>151.80000000000001</v>
      </c>
      <c r="Q199">
        <v>139.4</v>
      </c>
      <c r="R199">
        <v>158.30000000000001</v>
      </c>
      <c r="S199">
        <v>146.4</v>
      </c>
      <c r="T199">
        <v>138.1</v>
      </c>
      <c r="U199">
        <v>145.19999999999999</v>
      </c>
      <c r="V199">
        <v>142.5</v>
      </c>
      <c r="W199">
        <v>138.1</v>
      </c>
      <c r="X199">
        <v>137.9</v>
      </c>
      <c r="Y199">
        <v>136.19999999999999</v>
      </c>
      <c r="Z199">
        <v>123.7</v>
      </c>
      <c r="AA199">
        <v>132.6</v>
      </c>
      <c r="AB199">
        <v>142.80000000000001</v>
      </c>
      <c r="AC199">
        <v>130.1</v>
      </c>
      <c r="AD199">
        <v>132.6</v>
      </c>
      <c r="AE199">
        <v>138.5</v>
      </c>
      <c r="AF199">
        <f t="shared" si="6"/>
        <v>136.22499999999999</v>
      </c>
      <c r="AG199">
        <v>158.30000000000001</v>
      </c>
      <c r="AH199">
        <f>AVERAGE(Table1[[#This Row],[Clothing]:[Footwear]])</f>
        <v>142.25</v>
      </c>
      <c r="AI199">
        <v>138.1</v>
      </c>
      <c r="AJ199">
        <v>137.9</v>
      </c>
      <c r="AK199">
        <v>123.7</v>
      </c>
      <c r="AL199">
        <v>132.6</v>
      </c>
      <c r="AM199" t="str">
        <f t="shared" si="7"/>
        <v>Pre-COVID</v>
      </c>
    </row>
    <row r="200" spans="1:39" x14ac:dyDescent="0.35">
      <c r="A200" t="s">
        <v>30</v>
      </c>
      <c r="B200">
        <v>2018</v>
      </c>
      <c r="C200" t="s">
        <v>40</v>
      </c>
      <c r="D200" s="4">
        <f>DATE(B200,MATCH(C200,{"January","February","March","April","May","June","July","August","September","October","November","December"},0),1)</f>
        <v>43282</v>
      </c>
      <c r="E200">
        <v>138.4</v>
      </c>
      <c r="F200">
        <v>149.30000000000001</v>
      </c>
      <c r="G200">
        <v>139.30000000000001</v>
      </c>
      <c r="H200">
        <v>143.4</v>
      </c>
      <c r="I200">
        <v>124.1</v>
      </c>
      <c r="J200">
        <v>153.30000000000001</v>
      </c>
      <c r="K200">
        <v>154.19999999999999</v>
      </c>
      <c r="L200">
        <v>126.4</v>
      </c>
      <c r="M200">
        <v>114.3</v>
      </c>
      <c r="N200">
        <v>138.19999999999999</v>
      </c>
      <c r="O200">
        <v>132.80000000000001</v>
      </c>
      <c r="P200">
        <v>154.80000000000001</v>
      </c>
      <c r="Q200">
        <v>142</v>
      </c>
      <c r="R200">
        <v>156.1</v>
      </c>
      <c r="S200">
        <v>151.5</v>
      </c>
      <c r="T200">
        <v>145.1</v>
      </c>
      <c r="U200">
        <v>150.6</v>
      </c>
      <c r="V200">
        <v>143.6</v>
      </c>
      <c r="W200">
        <v>146.80000000000001</v>
      </c>
      <c r="X200">
        <v>143.1</v>
      </c>
      <c r="Y200">
        <v>139</v>
      </c>
      <c r="Z200">
        <v>127.5</v>
      </c>
      <c r="AA200">
        <v>138.4</v>
      </c>
      <c r="AB200">
        <v>145.80000000000001</v>
      </c>
      <c r="AC200">
        <v>131.4</v>
      </c>
      <c r="AD200">
        <v>136</v>
      </c>
      <c r="AE200">
        <v>141.80000000000001</v>
      </c>
      <c r="AF200">
        <f t="shared" si="6"/>
        <v>139.04166666666669</v>
      </c>
      <c r="AG200">
        <v>156.1</v>
      </c>
      <c r="AH200">
        <f>AVERAGE(Table1[[#This Row],[Clothing]:[Footwear]])</f>
        <v>148.30000000000001</v>
      </c>
      <c r="AI200">
        <v>146.80000000000001</v>
      </c>
      <c r="AJ200">
        <v>143.1</v>
      </c>
      <c r="AK200">
        <v>127.5</v>
      </c>
      <c r="AL200">
        <v>138.4</v>
      </c>
      <c r="AM200" t="str">
        <f t="shared" si="7"/>
        <v>Pre-COVID</v>
      </c>
    </row>
    <row r="201" spans="1:39" x14ac:dyDescent="0.35">
      <c r="A201" t="s">
        <v>33</v>
      </c>
      <c r="B201">
        <v>2018</v>
      </c>
      <c r="C201" t="s">
        <v>40</v>
      </c>
      <c r="D201" s="4">
        <f>DATE(B201,MATCH(C201,{"January","February","March","April","May","June","July","August","September","October","November","December"},0),1)</f>
        <v>43282</v>
      </c>
      <c r="E201">
        <v>135.6</v>
      </c>
      <c r="F201">
        <v>148.6</v>
      </c>
      <c r="G201">
        <v>139.1</v>
      </c>
      <c r="H201">
        <v>141</v>
      </c>
      <c r="I201">
        <v>116.7</v>
      </c>
      <c r="J201">
        <v>149.69999999999999</v>
      </c>
      <c r="K201">
        <v>159.19999999999999</v>
      </c>
      <c r="L201">
        <v>112.6</v>
      </c>
      <c r="M201">
        <v>111.8</v>
      </c>
      <c r="N201">
        <v>140.30000000000001</v>
      </c>
      <c r="O201">
        <v>126.8</v>
      </c>
      <c r="P201">
        <v>149.4</v>
      </c>
      <c r="Q201">
        <v>140.30000000000001</v>
      </c>
      <c r="R201">
        <v>161.4</v>
      </c>
      <c r="S201">
        <v>139.6</v>
      </c>
      <c r="T201">
        <v>128.9</v>
      </c>
      <c r="U201">
        <v>137.9</v>
      </c>
      <c r="V201">
        <v>143.6</v>
      </c>
      <c r="W201">
        <v>128.1</v>
      </c>
      <c r="X201">
        <v>133.6</v>
      </c>
      <c r="Y201">
        <v>133.6</v>
      </c>
      <c r="Z201">
        <v>120.1</v>
      </c>
      <c r="AA201">
        <v>129</v>
      </c>
      <c r="AB201">
        <v>144</v>
      </c>
      <c r="AC201">
        <v>128.19999999999999</v>
      </c>
      <c r="AD201">
        <v>130.19999999999999</v>
      </c>
      <c r="AE201">
        <v>137.5</v>
      </c>
      <c r="AF201">
        <f t="shared" si="6"/>
        <v>135.9</v>
      </c>
      <c r="AG201">
        <v>161.4</v>
      </c>
      <c r="AH201">
        <f>AVERAGE(Table1[[#This Row],[Clothing]:[Footwear]])</f>
        <v>134.25</v>
      </c>
      <c r="AI201">
        <v>128.1</v>
      </c>
      <c r="AJ201">
        <v>133.6</v>
      </c>
      <c r="AK201">
        <v>120.1</v>
      </c>
      <c r="AL201">
        <v>129</v>
      </c>
      <c r="AM201" t="str">
        <f t="shared" si="7"/>
        <v>Pre-COVID</v>
      </c>
    </row>
    <row r="202" spans="1:39" x14ac:dyDescent="0.35">
      <c r="A202" t="s">
        <v>34</v>
      </c>
      <c r="B202">
        <v>2018</v>
      </c>
      <c r="C202" t="s">
        <v>40</v>
      </c>
      <c r="D202" s="4">
        <f>DATE(B202,MATCH(C202,{"January","February","March","April","May","June","July","August","September","October","November","December"},0),1)</f>
        <v>43282</v>
      </c>
      <c r="E202">
        <v>137.5</v>
      </c>
      <c r="F202">
        <v>149.1</v>
      </c>
      <c r="G202">
        <v>139.19999999999999</v>
      </c>
      <c r="H202">
        <v>142.5</v>
      </c>
      <c r="I202">
        <v>121.4</v>
      </c>
      <c r="J202">
        <v>151.6</v>
      </c>
      <c r="K202">
        <v>155.9</v>
      </c>
      <c r="L202">
        <v>121.7</v>
      </c>
      <c r="M202">
        <v>113.5</v>
      </c>
      <c r="N202">
        <v>138.9</v>
      </c>
      <c r="O202">
        <v>130.30000000000001</v>
      </c>
      <c r="P202">
        <v>152.30000000000001</v>
      </c>
      <c r="Q202">
        <v>141.4</v>
      </c>
      <c r="R202">
        <v>157.5</v>
      </c>
      <c r="S202">
        <v>146.80000000000001</v>
      </c>
      <c r="T202">
        <v>138.4</v>
      </c>
      <c r="U202">
        <v>145.6</v>
      </c>
      <c r="V202">
        <v>143.6</v>
      </c>
      <c r="W202">
        <v>139.69999999999999</v>
      </c>
      <c r="X202">
        <v>138.6</v>
      </c>
      <c r="Y202">
        <v>137</v>
      </c>
      <c r="Z202">
        <v>123.6</v>
      </c>
      <c r="AA202">
        <v>133.1</v>
      </c>
      <c r="AB202">
        <v>144.69999999999999</v>
      </c>
      <c r="AC202">
        <v>130.1</v>
      </c>
      <c r="AD202">
        <v>133.19999999999999</v>
      </c>
      <c r="AE202">
        <v>139.80000000000001</v>
      </c>
      <c r="AF202">
        <f t="shared" si="6"/>
        <v>137.82499999999999</v>
      </c>
      <c r="AG202">
        <v>157.5</v>
      </c>
      <c r="AH202">
        <f>AVERAGE(Table1[[#This Row],[Clothing]:[Footwear]])</f>
        <v>142.60000000000002</v>
      </c>
      <c r="AI202">
        <v>139.69999999999999</v>
      </c>
      <c r="AJ202">
        <v>138.6</v>
      </c>
      <c r="AK202">
        <v>123.6</v>
      </c>
      <c r="AL202">
        <v>133.1</v>
      </c>
      <c r="AM202" t="str">
        <f t="shared" si="7"/>
        <v>Pre-COVID</v>
      </c>
    </row>
    <row r="203" spans="1:39" x14ac:dyDescent="0.35">
      <c r="A203" t="s">
        <v>30</v>
      </c>
      <c r="B203">
        <v>2018</v>
      </c>
      <c r="C203" t="s">
        <v>41</v>
      </c>
      <c r="D203" s="4">
        <f>DATE(B203,MATCH(C203,{"January","February","March","April","May","June","July","August","September","October","November","December"},0),1)</f>
        <v>43313</v>
      </c>
      <c r="E203">
        <v>139.19999999999999</v>
      </c>
      <c r="F203">
        <v>148.80000000000001</v>
      </c>
      <c r="G203">
        <v>139.1</v>
      </c>
      <c r="H203">
        <v>143.5</v>
      </c>
      <c r="I203">
        <v>125</v>
      </c>
      <c r="J203">
        <v>154.4</v>
      </c>
      <c r="K203">
        <v>156.30000000000001</v>
      </c>
      <c r="L203">
        <v>126.8</v>
      </c>
      <c r="M203">
        <v>115.4</v>
      </c>
      <c r="N203">
        <v>138.6</v>
      </c>
      <c r="O203">
        <v>133.80000000000001</v>
      </c>
      <c r="P203">
        <v>155.19999999999999</v>
      </c>
      <c r="Q203">
        <v>142.69999999999999</v>
      </c>
      <c r="R203">
        <v>156.4</v>
      </c>
      <c r="S203">
        <v>152.1</v>
      </c>
      <c r="T203">
        <v>145.80000000000001</v>
      </c>
      <c r="U203">
        <v>151.30000000000001</v>
      </c>
      <c r="V203">
        <v>144.6</v>
      </c>
      <c r="W203">
        <v>147.69999999999999</v>
      </c>
      <c r="X203">
        <v>143.80000000000001</v>
      </c>
      <c r="Y203">
        <v>139.4</v>
      </c>
      <c r="Z203">
        <v>128.30000000000001</v>
      </c>
      <c r="AA203">
        <v>138.6</v>
      </c>
      <c r="AB203">
        <v>146.9</v>
      </c>
      <c r="AC203">
        <v>131.30000000000001</v>
      </c>
      <c r="AD203">
        <v>136.6</v>
      </c>
      <c r="AE203">
        <v>142.5</v>
      </c>
      <c r="AF203">
        <f t="shared" si="6"/>
        <v>139.67499999999998</v>
      </c>
      <c r="AG203">
        <v>156.4</v>
      </c>
      <c r="AH203">
        <f>AVERAGE(Table1[[#This Row],[Clothing]:[Footwear]])</f>
        <v>148.94999999999999</v>
      </c>
      <c r="AI203">
        <v>147.69999999999999</v>
      </c>
      <c r="AJ203">
        <v>143.80000000000001</v>
      </c>
      <c r="AK203">
        <v>128.30000000000001</v>
      </c>
      <c r="AL203">
        <v>138.6</v>
      </c>
      <c r="AM203" t="str">
        <f t="shared" si="7"/>
        <v>Pre-COVID</v>
      </c>
    </row>
    <row r="204" spans="1:39" x14ac:dyDescent="0.35">
      <c r="A204" t="s">
        <v>33</v>
      </c>
      <c r="B204">
        <v>2018</v>
      </c>
      <c r="C204" t="s">
        <v>41</v>
      </c>
      <c r="D204" s="4">
        <f>DATE(B204,MATCH(C204,{"January","February","March","April","May","June","July","August","September","October","November","December"},0),1)</f>
        <v>43313</v>
      </c>
      <c r="E204">
        <v>136.5</v>
      </c>
      <c r="F204">
        <v>146.4</v>
      </c>
      <c r="G204">
        <v>136.6</v>
      </c>
      <c r="H204">
        <v>141.19999999999999</v>
      </c>
      <c r="I204">
        <v>117.4</v>
      </c>
      <c r="J204">
        <v>146.30000000000001</v>
      </c>
      <c r="K204">
        <v>157.30000000000001</v>
      </c>
      <c r="L204">
        <v>113.6</v>
      </c>
      <c r="M204">
        <v>113.3</v>
      </c>
      <c r="N204">
        <v>141.1</v>
      </c>
      <c r="O204">
        <v>127.4</v>
      </c>
      <c r="P204">
        <v>150.4</v>
      </c>
      <c r="Q204">
        <v>140.1</v>
      </c>
      <c r="R204">
        <v>162.1</v>
      </c>
      <c r="S204">
        <v>140</v>
      </c>
      <c r="T204">
        <v>129</v>
      </c>
      <c r="U204">
        <v>138.30000000000001</v>
      </c>
      <c r="V204">
        <v>144.6</v>
      </c>
      <c r="W204">
        <v>129.80000000000001</v>
      </c>
      <c r="X204">
        <v>134.4</v>
      </c>
      <c r="Y204">
        <v>134.9</v>
      </c>
      <c r="Z204">
        <v>120.7</v>
      </c>
      <c r="AA204">
        <v>129.80000000000001</v>
      </c>
      <c r="AB204">
        <v>145.30000000000001</v>
      </c>
      <c r="AC204">
        <v>128.30000000000001</v>
      </c>
      <c r="AD204">
        <v>131</v>
      </c>
      <c r="AE204">
        <v>138</v>
      </c>
      <c r="AF204">
        <f t="shared" si="6"/>
        <v>135.625</v>
      </c>
      <c r="AG204">
        <v>162.1</v>
      </c>
      <c r="AH204">
        <f>AVERAGE(Table1[[#This Row],[Clothing]:[Footwear]])</f>
        <v>134.5</v>
      </c>
      <c r="AI204">
        <v>129.80000000000001</v>
      </c>
      <c r="AJ204">
        <v>134.4</v>
      </c>
      <c r="AK204">
        <v>120.7</v>
      </c>
      <c r="AL204">
        <v>129.80000000000001</v>
      </c>
      <c r="AM204" t="str">
        <f t="shared" si="7"/>
        <v>Pre-COVID</v>
      </c>
    </row>
    <row r="205" spans="1:39" x14ac:dyDescent="0.35">
      <c r="A205" t="s">
        <v>34</v>
      </c>
      <c r="B205">
        <v>2018</v>
      </c>
      <c r="C205" t="s">
        <v>41</v>
      </c>
      <c r="D205" s="4">
        <f>DATE(B205,MATCH(C205,{"January","February","March","April","May","June","July","August","September","October","November","December"},0),1)</f>
        <v>43313</v>
      </c>
      <c r="E205">
        <v>138.30000000000001</v>
      </c>
      <c r="F205">
        <v>148</v>
      </c>
      <c r="G205">
        <v>138.1</v>
      </c>
      <c r="H205">
        <v>142.6</v>
      </c>
      <c r="I205">
        <v>122.2</v>
      </c>
      <c r="J205">
        <v>150.6</v>
      </c>
      <c r="K205">
        <v>156.6</v>
      </c>
      <c r="L205">
        <v>122.4</v>
      </c>
      <c r="M205">
        <v>114.7</v>
      </c>
      <c r="N205">
        <v>139.4</v>
      </c>
      <c r="O205">
        <v>131.1</v>
      </c>
      <c r="P205">
        <v>153</v>
      </c>
      <c r="Q205">
        <v>141.69999999999999</v>
      </c>
      <c r="R205">
        <v>157.9</v>
      </c>
      <c r="S205">
        <v>147.30000000000001</v>
      </c>
      <c r="T205">
        <v>138.80000000000001</v>
      </c>
      <c r="U205">
        <v>146.1</v>
      </c>
      <c r="V205">
        <v>144.6</v>
      </c>
      <c r="W205">
        <v>140.9</v>
      </c>
      <c r="X205">
        <v>139.4</v>
      </c>
      <c r="Y205">
        <v>137.69999999999999</v>
      </c>
      <c r="Z205">
        <v>124.3</v>
      </c>
      <c r="AA205">
        <v>133.6</v>
      </c>
      <c r="AB205">
        <v>146</v>
      </c>
      <c r="AC205">
        <v>130.1</v>
      </c>
      <c r="AD205">
        <v>133.9</v>
      </c>
      <c r="AE205">
        <v>140.4</v>
      </c>
      <c r="AF205">
        <f t="shared" si="6"/>
        <v>138.08333333333334</v>
      </c>
      <c r="AG205">
        <v>157.9</v>
      </c>
      <c r="AH205">
        <f>AVERAGE(Table1[[#This Row],[Clothing]:[Footwear]])</f>
        <v>143.05000000000001</v>
      </c>
      <c r="AI205">
        <v>140.9</v>
      </c>
      <c r="AJ205">
        <v>139.4</v>
      </c>
      <c r="AK205">
        <v>124.3</v>
      </c>
      <c r="AL205">
        <v>133.6</v>
      </c>
      <c r="AM205" t="str">
        <f t="shared" si="7"/>
        <v>Pre-COVID</v>
      </c>
    </row>
    <row r="206" spans="1:39" x14ac:dyDescent="0.35">
      <c r="A206" t="s">
        <v>30</v>
      </c>
      <c r="B206">
        <v>2018</v>
      </c>
      <c r="C206" t="s">
        <v>42</v>
      </c>
      <c r="D206" s="4">
        <f>DATE(B206,MATCH(C206,{"January","February","March","April","May","June","July","August","September","October","November","December"},0),1)</f>
        <v>43344</v>
      </c>
      <c r="E206">
        <v>139.4</v>
      </c>
      <c r="F206">
        <v>147.19999999999999</v>
      </c>
      <c r="G206">
        <v>136.6</v>
      </c>
      <c r="H206">
        <v>143.69999999999999</v>
      </c>
      <c r="I206">
        <v>124.6</v>
      </c>
      <c r="J206">
        <v>150.1</v>
      </c>
      <c r="K206">
        <v>149.4</v>
      </c>
      <c r="L206">
        <v>125.4</v>
      </c>
      <c r="M206">
        <v>114.4</v>
      </c>
      <c r="N206">
        <v>138.69999999999999</v>
      </c>
      <c r="O206">
        <v>133.1</v>
      </c>
      <c r="P206">
        <v>155.9</v>
      </c>
      <c r="Q206">
        <v>141.30000000000001</v>
      </c>
      <c r="R206">
        <v>157.69999999999999</v>
      </c>
      <c r="S206">
        <v>152.1</v>
      </c>
      <c r="T206">
        <v>146.1</v>
      </c>
      <c r="U206">
        <v>151.30000000000001</v>
      </c>
      <c r="V206">
        <v>145.30000000000001</v>
      </c>
      <c r="W206">
        <v>149</v>
      </c>
      <c r="X206">
        <v>144</v>
      </c>
      <c r="Y206">
        <v>140</v>
      </c>
      <c r="Z206">
        <v>129.9</v>
      </c>
      <c r="AA206">
        <v>140</v>
      </c>
      <c r="AB206">
        <v>147.6</v>
      </c>
      <c r="AC206">
        <v>132</v>
      </c>
      <c r="AD206">
        <v>137.4</v>
      </c>
      <c r="AE206">
        <v>142.1</v>
      </c>
      <c r="AF206">
        <f t="shared" si="6"/>
        <v>138.20833333333334</v>
      </c>
      <c r="AG206">
        <v>157.69999999999999</v>
      </c>
      <c r="AH206">
        <f>AVERAGE(Table1[[#This Row],[Clothing]:[Footwear]])</f>
        <v>149.1</v>
      </c>
      <c r="AI206">
        <v>149</v>
      </c>
      <c r="AJ206">
        <v>144</v>
      </c>
      <c r="AK206">
        <v>129.9</v>
      </c>
      <c r="AL206">
        <v>140</v>
      </c>
      <c r="AM206" t="str">
        <f t="shared" si="7"/>
        <v>Pre-COVID</v>
      </c>
    </row>
    <row r="207" spans="1:39" x14ac:dyDescent="0.35">
      <c r="A207" t="s">
        <v>33</v>
      </c>
      <c r="B207">
        <v>2018</v>
      </c>
      <c r="C207" t="s">
        <v>42</v>
      </c>
      <c r="D207" s="4">
        <f>DATE(B207,MATCH(C207,{"January","February","March","April","May","June","July","August","September","October","November","December"},0),1)</f>
        <v>43344</v>
      </c>
      <c r="E207">
        <v>137</v>
      </c>
      <c r="F207">
        <v>143.1</v>
      </c>
      <c r="G207">
        <v>132.80000000000001</v>
      </c>
      <c r="H207">
        <v>141.5</v>
      </c>
      <c r="I207">
        <v>117.8</v>
      </c>
      <c r="J207">
        <v>140</v>
      </c>
      <c r="K207">
        <v>151.30000000000001</v>
      </c>
      <c r="L207">
        <v>113.5</v>
      </c>
      <c r="M207">
        <v>112.3</v>
      </c>
      <c r="N207">
        <v>141.19999999999999</v>
      </c>
      <c r="O207">
        <v>127.7</v>
      </c>
      <c r="P207">
        <v>151.30000000000001</v>
      </c>
      <c r="Q207">
        <v>138.9</v>
      </c>
      <c r="R207">
        <v>163.30000000000001</v>
      </c>
      <c r="S207">
        <v>140.80000000000001</v>
      </c>
      <c r="T207">
        <v>129.30000000000001</v>
      </c>
      <c r="U207">
        <v>139.1</v>
      </c>
      <c r="V207">
        <v>145.30000000000001</v>
      </c>
      <c r="W207">
        <v>131.19999999999999</v>
      </c>
      <c r="X207">
        <v>134.9</v>
      </c>
      <c r="Y207">
        <v>135.69999999999999</v>
      </c>
      <c r="Z207">
        <v>122.5</v>
      </c>
      <c r="AA207">
        <v>130.19999999999999</v>
      </c>
      <c r="AB207">
        <v>145.19999999999999</v>
      </c>
      <c r="AC207">
        <v>129.30000000000001</v>
      </c>
      <c r="AD207">
        <v>131.9</v>
      </c>
      <c r="AE207">
        <v>138.1</v>
      </c>
      <c r="AF207">
        <f t="shared" si="6"/>
        <v>134.125</v>
      </c>
      <c r="AG207">
        <v>163.30000000000001</v>
      </c>
      <c r="AH207">
        <f>AVERAGE(Table1[[#This Row],[Clothing]:[Footwear]])</f>
        <v>135.05000000000001</v>
      </c>
      <c r="AI207">
        <v>131.19999999999999</v>
      </c>
      <c r="AJ207">
        <v>134.9</v>
      </c>
      <c r="AK207">
        <v>122.5</v>
      </c>
      <c r="AL207">
        <v>130.19999999999999</v>
      </c>
      <c r="AM207" t="str">
        <f t="shared" si="7"/>
        <v>Pre-COVID</v>
      </c>
    </row>
    <row r="208" spans="1:39" x14ac:dyDescent="0.35">
      <c r="A208" t="s">
        <v>34</v>
      </c>
      <c r="B208">
        <v>2018</v>
      </c>
      <c r="C208" t="s">
        <v>42</v>
      </c>
      <c r="D208" s="4">
        <f>DATE(B208,MATCH(C208,{"January","February","March","April","May","June","July","August","September","October","November","December"},0),1)</f>
        <v>43344</v>
      </c>
      <c r="E208">
        <v>138.6</v>
      </c>
      <c r="F208">
        <v>145.80000000000001</v>
      </c>
      <c r="G208">
        <v>135.1</v>
      </c>
      <c r="H208">
        <v>142.9</v>
      </c>
      <c r="I208">
        <v>122.1</v>
      </c>
      <c r="J208">
        <v>145.4</v>
      </c>
      <c r="K208">
        <v>150</v>
      </c>
      <c r="L208">
        <v>121.4</v>
      </c>
      <c r="M208">
        <v>113.7</v>
      </c>
      <c r="N208">
        <v>139.5</v>
      </c>
      <c r="O208">
        <v>130.80000000000001</v>
      </c>
      <c r="P208">
        <v>153.80000000000001</v>
      </c>
      <c r="Q208">
        <v>140.4</v>
      </c>
      <c r="R208">
        <v>159.19999999999999</v>
      </c>
      <c r="S208">
        <v>147.69999999999999</v>
      </c>
      <c r="T208">
        <v>139.1</v>
      </c>
      <c r="U208">
        <v>146.5</v>
      </c>
      <c r="V208">
        <v>145.30000000000001</v>
      </c>
      <c r="W208">
        <v>142.30000000000001</v>
      </c>
      <c r="X208">
        <v>139.69999999999999</v>
      </c>
      <c r="Y208">
        <v>138.4</v>
      </c>
      <c r="Z208">
        <v>126</v>
      </c>
      <c r="AA208">
        <v>134.5</v>
      </c>
      <c r="AB208">
        <v>146.19999999999999</v>
      </c>
      <c r="AC208">
        <v>130.9</v>
      </c>
      <c r="AD208">
        <v>134.69999999999999</v>
      </c>
      <c r="AE208">
        <v>140.19999999999999</v>
      </c>
      <c r="AF208">
        <f t="shared" si="6"/>
        <v>136.59166666666667</v>
      </c>
      <c r="AG208">
        <v>159.19999999999999</v>
      </c>
      <c r="AH208">
        <f>AVERAGE(Table1[[#This Row],[Clothing]:[Footwear]])</f>
        <v>143.39999999999998</v>
      </c>
      <c r="AI208">
        <v>142.30000000000001</v>
      </c>
      <c r="AJ208">
        <v>139.69999999999999</v>
      </c>
      <c r="AK208">
        <v>126</v>
      </c>
      <c r="AL208">
        <v>134.5</v>
      </c>
      <c r="AM208" t="str">
        <f t="shared" si="7"/>
        <v>Pre-COVID</v>
      </c>
    </row>
    <row r="209" spans="1:39" x14ac:dyDescent="0.35">
      <c r="A209" t="s">
        <v>30</v>
      </c>
      <c r="B209">
        <v>2018</v>
      </c>
      <c r="C209" t="s">
        <v>43</v>
      </c>
      <c r="D209" s="4">
        <f>DATE(B209,MATCH(C209,{"January","February","March","April","May","June","July","August","September","October","November","December"},0),1)</f>
        <v>43374</v>
      </c>
      <c r="E209">
        <v>139.30000000000001</v>
      </c>
      <c r="F209">
        <v>147.6</v>
      </c>
      <c r="G209">
        <v>134.6</v>
      </c>
      <c r="H209">
        <v>141.9</v>
      </c>
      <c r="I209">
        <v>123.5</v>
      </c>
      <c r="J209">
        <v>144.5</v>
      </c>
      <c r="K209">
        <v>147.6</v>
      </c>
      <c r="L209">
        <v>121.4</v>
      </c>
      <c r="M209">
        <v>112.3</v>
      </c>
      <c r="N209">
        <v>139.5</v>
      </c>
      <c r="O209">
        <v>134.6</v>
      </c>
      <c r="P209">
        <v>155.19999999999999</v>
      </c>
      <c r="Q209">
        <v>140.19999999999999</v>
      </c>
      <c r="R209">
        <v>159.6</v>
      </c>
      <c r="S209">
        <v>150.69999999999999</v>
      </c>
      <c r="T209">
        <v>144.5</v>
      </c>
      <c r="U209">
        <v>149.80000000000001</v>
      </c>
      <c r="V209">
        <v>146.30000000000001</v>
      </c>
      <c r="W209">
        <v>149.69999999999999</v>
      </c>
      <c r="X209">
        <v>147.5</v>
      </c>
      <c r="Y209">
        <v>144.80000000000001</v>
      </c>
      <c r="Z209">
        <v>130.80000000000001</v>
      </c>
      <c r="AA209">
        <v>140.1</v>
      </c>
      <c r="AB209">
        <v>148</v>
      </c>
      <c r="AC209">
        <v>134.4</v>
      </c>
      <c r="AD209">
        <v>139.80000000000001</v>
      </c>
      <c r="AE209">
        <v>142.19999999999999</v>
      </c>
      <c r="AF209">
        <f t="shared" si="6"/>
        <v>136.83333333333334</v>
      </c>
      <c r="AG209">
        <v>159.6</v>
      </c>
      <c r="AH209">
        <f>AVERAGE(Table1[[#This Row],[Clothing]:[Footwear]])</f>
        <v>147.6</v>
      </c>
      <c r="AI209">
        <v>149.69999999999999</v>
      </c>
      <c r="AJ209">
        <v>147.5</v>
      </c>
      <c r="AK209">
        <v>130.80000000000001</v>
      </c>
      <c r="AL209">
        <v>140.1</v>
      </c>
      <c r="AM209" t="str">
        <f t="shared" si="7"/>
        <v>Pre-COVID</v>
      </c>
    </row>
    <row r="210" spans="1:39" x14ac:dyDescent="0.35">
      <c r="A210" t="s">
        <v>33</v>
      </c>
      <c r="B210">
        <v>2018</v>
      </c>
      <c r="C210" t="s">
        <v>43</v>
      </c>
      <c r="D210" s="4">
        <f>DATE(B210,MATCH(C210,{"January","February","March","April","May","June","July","August","September","October","November","December"},0),1)</f>
        <v>43374</v>
      </c>
      <c r="E210">
        <v>137.6</v>
      </c>
      <c r="F210">
        <v>144.9</v>
      </c>
      <c r="G210">
        <v>133.5</v>
      </c>
      <c r="H210">
        <v>141.5</v>
      </c>
      <c r="I210">
        <v>118</v>
      </c>
      <c r="J210">
        <v>139.5</v>
      </c>
      <c r="K210">
        <v>153</v>
      </c>
      <c r="L210">
        <v>113.2</v>
      </c>
      <c r="M210">
        <v>112.8</v>
      </c>
      <c r="N210">
        <v>141.1</v>
      </c>
      <c r="O210">
        <v>127.6</v>
      </c>
      <c r="P210">
        <v>152</v>
      </c>
      <c r="Q210">
        <v>139.4</v>
      </c>
      <c r="R210">
        <v>164</v>
      </c>
      <c r="S210">
        <v>141.5</v>
      </c>
      <c r="T210">
        <v>129.80000000000001</v>
      </c>
      <c r="U210">
        <v>139.69999999999999</v>
      </c>
      <c r="V210">
        <v>146.9</v>
      </c>
      <c r="W210">
        <v>133.4</v>
      </c>
      <c r="X210">
        <v>135.1</v>
      </c>
      <c r="Y210">
        <v>136.19999999999999</v>
      </c>
      <c r="Z210">
        <v>123.3</v>
      </c>
      <c r="AA210">
        <v>130.69999999999999</v>
      </c>
      <c r="AB210">
        <v>145.5</v>
      </c>
      <c r="AC210">
        <v>130.4</v>
      </c>
      <c r="AD210">
        <v>132.5</v>
      </c>
      <c r="AE210">
        <v>138.9</v>
      </c>
      <c r="AF210">
        <f t="shared" si="6"/>
        <v>134.55833333333331</v>
      </c>
      <c r="AG210">
        <v>164</v>
      </c>
      <c r="AH210">
        <f>AVERAGE(Table1[[#This Row],[Clothing]:[Footwear]])</f>
        <v>135.65</v>
      </c>
      <c r="AI210">
        <v>133.4</v>
      </c>
      <c r="AJ210">
        <v>135.1</v>
      </c>
      <c r="AK210">
        <v>123.3</v>
      </c>
      <c r="AL210">
        <v>130.69999999999999</v>
      </c>
      <c r="AM210" t="str">
        <f t="shared" si="7"/>
        <v>Pre-COVID</v>
      </c>
    </row>
    <row r="211" spans="1:39" x14ac:dyDescent="0.35">
      <c r="A211" t="s">
        <v>34</v>
      </c>
      <c r="B211">
        <v>2018</v>
      </c>
      <c r="C211" t="s">
        <v>43</v>
      </c>
      <c r="D211" s="4">
        <f>DATE(B211,MATCH(C211,{"January","February","March","April","May","June","July","August","September","October","November","December"},0),1)</f>
        <v>43374</v>
      </c>
      <c r="E211">
        <v>137.4</v>
      </c>
      <c r="F211">
        <v>149.5</v>
      </c>
      <c r="G211">
        <v>137.30000000000001</v>
      </c>
      <c r="H211">
        <v>141.9</v>
      </c>
      <c r="I211">
        <v>121.1</v>
      </c>
      <c r="J211">
        <v>142.5</v>
      </c>
      <c r="K211">
        <v>146.69999999999999</v>
      </c>
      <c r="L211">
        <v>119.1</v>
      </c>
      <c r="M211">
        <v>111.9</v>
      </c>
      <c r="N211">
        <v>141</v>
      </c>
      <c r="O211">
        <v>133.6</v>
      </c>
      <c r="P211">
        <v>154.5</v>
      </c>
      <c r="Q211">
        <v>139.69999999999999</v>
      </c>
      <c r="R211">
        <v>162.6</v>
      </c>
      <c r="S211">
        <v>148</v>
      </c>
      <c r="T211">
        <v>139.19999999999999</v>
      </c>
      <c r="U211">
        <v>146.80000000000001</v>
      </c>
      <c r="V211">
        <v>146.9</v>
      </c>
      <c r="W211">
        <v>145.30000000000001</v>
      </c>
      <c r="X211">
        <v>142.19999999999999</v>
      </c>
      <c r="Y211">
        <v>142.1</v>
      </c>
      <c r="Z211">
        <v>125.5</v>
      </c>
      <c r="AA211">
        <v>136.5</v>
      </c>
      <c r="AB211">
        <v>147.80000000000001</v>
      </c>
      <c r="AC211">
        <v>132</v>
      </c>
      <c r="AD211">
        <v>136.30000000000001</v>
      </c>
      <c r="AE211">
        <v>140.80000000000001</v>
      </c>
      <c r="AF211">
        <f t="shared" si="6"/>
        <v>136.375</v>
      </c>
      <c r="AG211">
        <v>162.6</v>
      </c>
      <c r="AH211">
        <f>AVERAGE(Table1[[#This Row],[Clothing]:[Footwear]])</f>
        <v>143.6</v>
      </c>
      <c r="AI211">
        <v>145.30000000000001</v>
      </c>
      <c r="AJ211">
        <v>142.19999999999999</v>
      </c>
      <c r="AK211">
        <v>125.5</v>
      </c>
      <c r="AL211">
        <v>136.5</v>
      </c>
      <c r="AM211" t="str">
        <f t="shared" si="7"/>
        <v>Pre-COVID</v>
      </c>
    </row>
    <row r="212" spans="1:39" x14ac:dyDescent="0.35">
      <c r="A212" t="s">
        <v>30</v>
      </c>
      <c r="B212">
        <v>2018</v>
      </c>
      <c r="C212" t="s">
        <v>45</v>
      </c>
      <c r="D212" s="4">
        <f>DATE(B212,MATCH(C212,{"January","February","March","April","May","June","July","August","September","October","November","December"},0),1)</f>
        <v>43405</v>
      </c>
      <c r="E212">
        <v>137.1</v>
      </c>
      <c r="F212">
        <v>150.80000000000001</v>
      </c>
      <c r="G212">
        <v>136.69999999999999</v>
      </c>
      <c r="H212">
        <v>141.9</v>
      </c>
      <c r="I212">
        <v>122.8</v>
      </c>
      <c r="J212">
        <v>143.9</v>
      </c>
      <c r="K212">
        <v>147.5</v>
      </c>
      <c r="L212">
        <v>121</v>
      </c>
      <c r="M212">
        <v>111.6</v>
      </c>
      <c r="N212">
        <v>140.6</v>
      </c>
      <c r="O212">
        <v>137.5</v>
      </c>
      <c r="P212">
        <v>156.1</v>
      </c>
      <c r="Q212">
        <v>140</v>
      </c>
      <c r="R212">
        <v>161.9</v>
      </c>
      <c r="S212">
        <v>151.69999999999999</v>
      </c>
      <c r="T212">
        <v>145.5</v>
      </c>
      <c r="U212">
        <v>150.80000000000001</v>
      </c>
      <c r="V212">
        <v>146.9</v>
      </c>
      <c r="W212">
        <v>150.30000000000001</v>
      </c>
      <c r="X212">
        <v>148</v>
      </c>
      <c r="Y212">
        <v>145.4</v>
      </c>
      <c r="Z212">
        <v>130.30000000000001</v>
      </c>
      <c r="AA212">
        <v>143.1</v>
      </c>
      <c r="AB212">
        <v>150.19999999999999</v>
      </c>
      <c r="AC212">
        <v>133.1</v>
      </c>
      <c r="AD212">
        <v>140.1</v>
      </c>
      <c r="AE212">
        <v>142.4</v>
      </c>
      <c r="AF212">
        <f t="shared" si="6"/>
        <v>137.29166666666663</v>
      </c>
      <c r="AG212">
        <v>161.9</v>
      </c>
      <c r="AH212">
        <f>AVERAGE(Table1[[#This Row],[Clothing]:[Footwear]])</f>
        <v>148.6</v>
      </c>
      <c r="AI212">
        <v>150.30000000000001</v>
      </c>
      <c r="AJ212">
        <v>148</v>
      </c>
      <c r="AK212">
        <v>130.30000000000001</v>
      </c>
      <c r="AL212">
        <v>143.1</v>
      </c>
      <c r="AM212" t="str">
        <f t="shared" si="7"/>
        <v>Pre-COVID</v>
      </c>
    </row>
    <row r="213" spans="1:39" x14ac:dyDescent="0.35">
      <c r="A213" t="s">
        <v>33</v>
      </c>
      <c r="B213">
        <v>2018</v>
      </c>
      <c r="C213" t="s">
        <v>45</v>
      </c>
      <c r="D213" s="4">
        <f>DATE(B213,MATCH(C213,{"January","February","March","April","May","June","July","August","September","October","November","December"},0),1)</f>
        <v>43405</v>
      </c>
      <c r="E213">
        <v>138.1</v>
      </c>
      <c r="F213">
        <v>146.30000000000001</v>
      </c>
      <c r="G213">
        <v>137.80000000000001</v>
      </c>
      <c r="H213">
        <v>141.6</v>
      </c>
      <c r="I213">
        <v>118.1</v>
      </c>
      <c r="J213">
        <v>141.5</v>
      </c>
      <c r="K213">
        <v>145.19999999999999</v>
      </c>
      <c r="L213">
        <v>115.3</v>
      </c>
      <c r="M213">
        <v>112.5</v>
      </c>
      <c r="N213">
        <v>141.4</v>
      </c>
      <c r="O213">
        <v>128</v>
      </c>
      <c r="P213">
        <v>152.6</v>
      </c>
      <c r="Q213">
        <v>139.1</v>
      </c>
      <c r="R213">
        <v>164.4</v>
      </c>
      <c r="S213">
        <v>142.4</v>
      </c>
      <c r="T213">
        <v>130.19999999999999</v>
      </c>
      <c r="U213">
        <v>140.5</v>
      </c>
      <c r="V213">
        <v>146.9</v>
      </c>
      <c r="W213">
        <v>136.69999999999999</v>
      </c>
      <c r="X213">
        <v>135.80000000000001</v>
      </c>
      <c r="Y213">
        <v>136.80000000000001</v>
      </c>
      <c r="Z213">
        <v>121.2</v>
      </c>
      <c r="AA213">
        <v>131.30000000000001</v>
      </c>
      <c r="AB213">
        <v>146.1</v>
      </c>
      <c r="AC213">
        <v>130.5</v>
      </c>
      <c r="AD213">
        <v>132.19999999999999</v>
      </c>
      <c r="AE213">
        <v>139</v>
      </c>
      <c r="AF213">
        <f t="shared" si="6"/>
        <v>134.86666666666665</v>
      </c>
      <c r="AG213">
        <v>164.4</v>
      </c>
      <c r="AH213">
        <f>AVERAGE(Table1[[#This Row],[Clothing]:[Footwear]])</f>
        <v>136.30000000000001</v>
      </c>
      <c r="AI213">
        <v>136.69999999999999</v>
      </c>
      <c r="AJ213">
        <v>135.80000000000001</v>
      </c>
      <c r="AK213">
        <v>121.2</v>
      </c>
      <c r="AL213">
        <v>131.30000000000001</v>
      </c>
      <c r="AM213" t="str">
        <f t="shared" si="7"/>
        <v>Pre-COVID</v>
      </c>
    </row>
    <row r="214" spans="1:39" x14ac:dyDescent="0.35">
      <c r="A214" t="s">
        <v>34</v>
      </c>
      <c r="B214">
        <v>2018</v>
      </c>
      <c r="C214" t="s">
        <v>45</v>
      </c>
      <c r="D214" s="4">
        <f>DATE(B214,MATCH(C214,{"January","February","March","April","May","June","July","August","September","October","November","December"},0),1)</f>
        <v>43405</v>
      </c>
      <c r="E214">
        <v>137.4</v>
      </c>
      <c r="F214">
        <v>149.19999999999999</v>
      </c>
      <c r="G214">
        <v>137.1</v>
      </c>
      <c r="H214">
        <v>141.80000000000001</v>
      </c>
      <c r="I214">
        <v>121.1</v>
      </c>
      <c r="J214">
        <v>142.80000000000001</v>
      </c>
      <c r="K214">
        <v>146.69999999999999</v>
      </c>
      <c r="L214">
        <v>119.1</v>
      </c>
      <c r="M214">
        <v>111.9</v>
      </c>
      <c r="N214">
        <v>140.9</v>
      </c>
      <c r="O214">
        <v>133.5</v>
      </c>
      <c r="P214">
        <v>154.5</v>
      </c>
      <c r="Q214">
        <v>139.69999999999999</v>
      </c>
      <c r="R214">
        <v>162.6</v>
      </c>
      <c r="S214">
        <v>148</v>
      </c>
      <c r="T214">
        <v>139.1</v>
      </c>
      <c r="U214">
        <v>146.69999999999999</v>
      </c>
      <c r="V214">
        <v>146.9</v>
      </c>
      <c r="W214">
        <v>145.1</v>
      </c>
      <c r="X214">
        <v>142.19999999999999</v>
      </c>
      <c r="Y214">
        <v>142.1</v>
      </c>
      <c r="Z214">
        <v>125.5</v>
      </c>
      <c r="AA214">
        <v>136.5</v>
      </c>
      <c r="AB214">
        <v>147.80000000000001</v>
      </c>
      <c r="AC214">
        <v>132</v>
      </c>
      <c r="AD214">
        <v>136.30000000000001</v>
      </c>
      <c r="AE214">
        <v>140.80000000000001</v>
      </c>
      <c r="AF214">
        <f t="shared" si="6"/>
        <v>136.33333333333334</v>
      </c>
      <c r="AG214">
        <v>162.6</v>
      </c>
      <c r="AH214">
        <f>AVERAGE(Table1[[#This Row],[Clothing]:[Footwear]])</f>
        <v>143.55000000000001</v>
      </c>
      <c r="AI214">
        <v>145.1</v>
      </c>
      <c r="AJ214">
        <v>142.19999999999999</v>
      </c>
      <c r="AK214">
        <v>125.5</v>
      </c>
      <c r="AL214">
        <v>136.5</v>
      </c>
      <c r="AM214" t="str">
        <f t="shared" si="7"/>
        <v>Pre-COVID</v>
      </c>
    </row>
    <row r="215" spans="1:39" x14ac:dyDescent="0.35">
      <c r="A215" t="s">
        <v>30</v>
      </c>
      <c r="B215">
        <v>2018</v>
      </c>
      <c r="C215" t="s">
        <v>46</v>
      </c>
      <c r="D215" s="4">
        <f>DATE(B215,MATCH(C215,{"January","February","March","April","May","June","July","August","September","October","November","December"},0),1)</f>
        <v>43435</v>
      </c>
      <c r="E215">
        <v>137.1</v>
      </c>
      <c r="F215">
        <v>151.9</v>
      </c>
      <c r="G215">
        <v>137.4</v>
      </c>
      <c r="H215">
        <v>142.4</v>
      </c>
      <c r="I215">
        <v>124.2</v>
      </c>
      <c r="J215">
        <v>140.19999999999999</v>
      </c>
      <c r="K215">
        <v>136.6</v>
      </c>
      <c r="L215">
        <v>120.9</v>
      </c>
      <c r="M215">
        <v>109.9</v>
      </c>
      <c r="N215">
        <v>140.19999999999999</v>
      </c>
      <c r="O215">
        <v>137.80000000000001</v>
      </c>
      <c r="P215">
        <v>156</v>
      </c>
      <c r="Q215">
        <v>138.5</v>
      </c>
      <c r="R215">
        <v>162.4</v>
      </c>
      <c r="S215">
        <v>151.6</v>
      </c>
      <c r="T215">
        <v>145.9</v>
      </c>
      <c r="U215">
        <v>150.80000000000001</v>
      </c>
      <c r="V215">
        <v>146.5</v>
      </c>
      <c r="W215">
        <v>149</v>
      </c>
      <c r="X215">
        <v>149.5</v>
      </c>
      <c r="Y215">
        <v>149.6</v>
      </c>
      <c r="Z215">
        <v>128.9</v>
      </c>
      <c r="AA215">
        <v>143.30000000000001</v>
      </c>
      <c r="AB215">
        <v>155.1</v>
      </c>
      <c r="AC215">
        <v>133.19999999999999</v>
      </c>
      <c r="AD215">
        <v>141.6</v>
      </c>
      <c r="AE215">
        <v>141.9</v>
      </c>
      <c r="AF215">
        <f t="shared" si="6"/>
        <v>136.21666666666667</v>
      </c>
      <c r="AG215">
        <v>162.4</v>
      </c>
      <c r="AH215">
        <f>AVERAGE(Table1[[#This Row],[Clothing]:[Footwear]])</f>
        <v>148.75</v>
      </c>
      <c r="AI215">
        <v>149</v>
      </c>
      <c r="AJ215">
        <v>149.5</v>
      </c>
      <c r="AK215">
        <v>128.9</v>
      </c>
      <c r="AL215">
        <v>143.30000000000001</v>
      </c>
      <c r="AM215" t="str">
        <f t="shared" si="7"/>
        <v>Pre-COVID</v>
      </c>
    </row>
    <row r="216" spans="1:39" x14ac:dyDescent="0.35">
      <c r="A216" t="s">
        <v>33</v>
      </c>
      <c r="B216">
        <v>2018</v>
      </c>
      <c r="C216" t="s">
        <v>46</v>
      </c>
      <c r="D216" s="4">
        <f>DATE(B216,MATCH(C216,{"January","February","March","April","May","June","July","August","September","October","November","December"},0),1)</f>
        <v>43435</v>
      </c>
      <c r="E216">
        <v>138.5</v>
      </c>
      <c r="F216">
        <v>147.80000000000001</v>
      </c>
      <c r="G216">
        <v>141.1</v>
      </c>
      <c r="H216">
        <v>141.6</v>
      </c>
      <c r="I216">
        <v>118.1</v>
      </c>
      <c r="J216">
        <v>138.5</v>
      </c>
      <c r="K216">
        <v>132.4</v>
      </c>
      <c r="L216">
        <v>117.5</v>
      </c>
      <c r="M216">
        <v>111</v>
      </c>
      <c r="N216">
        <v>141.5</v>
      </c>
      <c r="O216">
        <v>128.1</v>
      </c>
      <c r="P216">
        <v>152.9</v>
      </c>
      <c r="Q216">
        <v>137.6</v>
      </c>
      <c r="R216">
        <v>164.6</v>
      </c>
      <c r="S216">
        <v>142.69999999999999</v>
      </c>
      <c r="T216">
        <v>130.30000000000001</v>
      </c>
      <c r="U216">
        <v>140.80000000000001</v>
      </c>
      <c r="V216">
        <v>146.5</v>
      </c>
      <c r="W216">
        <v>132.4</v>
      </c>
      <c r="X216">
        <v>136.19999999999999</v>
      </c>
      <c r="Y216">
        <v>137.30000000000001</v>
      </c>
      <c r="Z216">
        <v>118.8</v>
      </c>
      <c r="AA216">
        <v>131.69999999999999</v>
      </c>
      <c r="AB216">
        <v>146.5</v>
      </c>
      <c r="AC216">
        <v>130.80000000000001</v>
      </c>
      <c r="AD216">
        <v>131.69999999999999</v>
      </c>
      <c r="AE216">
        <v>138</v>
      </c>
      <c r="AF216">
        <f t="shared" si="6"/>
        <v>134.08333333333334</v>
      </c>
      <c r="AG216">
        <v>164.6</v>
      </c>
      <c r="AH216">
        <f>AVERAGE(Table1[[#This Row],[Clothing]:[Footwear]])</f>
        <v>136.5</v>
      </c>
      <c r="AI216">
        <v>132.4</v>
      </c>
      <c r="AJ216">
        <v>136.19999999999999</v>
      </c>
      <c r="AK216">
        <v>118.8</v>
      </c>
      <c r="AL216">
        <v>131.69999999999999</v>
      </c>
      <c r="AM216" t="str">
        <f t="shared" si="7"/>
        <v>Pre-COVID</v>
      </c>
    </row>
    <row r="217" spans="1:39" x14ac:dyDescent="0.35">
      <c r="A217" t="s">
        <v>34</v>
      </c>
      <c r="B217">
        <v>2018</v>
      </c>
      <c r="C217" t="s">
        <v>46</v>
      </c>
      <c r="D217" s="4">
        <f>DATE(B217,MATCH(C217,{"January","February","March","April","May","June","July","August","September","October","November","December"},0),1)</f>
        <v>43435</v>
      </c>
      <c r="E217">
        <v>137.5</v>
      </c>
      <c r="F217">
        <v>150.5</v>
      </c>
      <c r="G217">
        <v>138.80000000000001</v>
      </c>
      <c r="H217">
        <v>142.1</v>
      </c>
      <c r="I217">
        <v>122</v>
      </c>
      <c r="J217">
        <v>139.4</v>
      </c>
      <c r="K217">
        <v>135.19999999999999</v>
      </c>
      <c r="L217">
        <v>119.8</v>
      </c>
      <c r="M217">
        <v>110.3</v>
      </c>
      <c r="N217">
        <v>140.6</v>
      </c>
      <c r="O217">
        <v>133.80000000000001</v>
      </c>
      <c r="P217">
        <v>154.6</v>
      </c>
      <c r="Q217">
        <v>138.19999999999999</v>
      </c>
      <c r="R217">
        <v>163</v>
      </c>
      <c r="S217">
        <v>148.1</v>
      </c>
      <c r="T217">
        <v>139.4</v>
      </c>
      <c r="U217">
        <v>146.80000000000001</v>
      </c>
      <c r="V217">
        <v>146.5</v>
      </c>
      <c r="W217">
        <v>142.69999999999999</v>
      </c>
      <c r="X217">
        <v>143.19999999999999</v>
      </c>
      <c r="Y217">
        <v>144.9</v>
      </c>
      <c r="Z217">
        <v>123.6</v>
      </c>
      <c r="AA217">
        <v>136.80000000000001</v>
      </c>
      <c r="AB217">
        <v>150.1</v>
      </c>
      <c r="AC217">
        <v>132.19999999999999</v>
      </c>
      <c r="AD217">
        <v>136.80000000000001</v>
      </c>
      <c r="AE217">
        <v>140.1</v>
      </c>
      <c r="AF217">
        <f t="shared" si="6"/>
        <v>135.3833333333333</v>
      </c>
      <c r="AG217">
        <v>163</v>
      </c>
      <c r="AH217">
        <f>AVERAGE(Table1[[#This Row],[Clothing]:[Footwear]])</f>
        <v>143.75</v>
      </c>
      <c r="AI217">
        <v>142.69999999999999</v>
      </c>
      <c r="AJ217">
        <v>143.19999999999999</v>
      </c>
      <c r="AK217">
        <v>123.6</v>
      </c>
      <c r="AL217">
        <v>136.80000000000001</v>
      </c>
      <c r="AM217" t="str">
        <f t="shared" si="7"/>
        <v>Pre-COVID</v>
      </c>
    </row>
    <row r="218" spans="1:39" x14ac:dyDescent="0.35">
      <c r="A218" t="s">
        <v>30</v>
      </c>
      <c r="B218">
        <v>2019</v>
      </c>
      <c r="C218" t="s">
        <v>31</v>
      </c>
      <c r="D218" s="4">
        <f>DATE(B218,MATCH(C218,{"January","February","March","April","May","June","July","August","September","October","November","December"},0),1)</f>
        <v>43466</v>
      </c>
      <c r="E218">
        <v>136.6</v>
      </c>
      <c r="F218">
        <v>152.5</v>
      </c>
      <c r="G218">
        <v>138.19999999999999</v>
      </c>
      <c r="H218">
        <v>142.4</v>
      </c>
      <c r="I218">
        <v>123.9</v>
      </c>
      <c r="J218">
        <v>135.5</v>
      </c>
      <c r="K218">
        <v>131.69999999999999</v>
      </c>
      <c r="L218">
        <v>121.3</v>
      </c>
      <c r="M218">
        <v>108.4</v>
      </c>
      <c r="N218">
        <v>138.9</v>
      </c>
      <c r="O218">
        <v>137</v>
      </c>
      <c r="P218">
        <v>155.80000000000001</v>
      </c>
      <c r="Q218">
        <v>137.4</v>
      </c>
      <c r="R218">
        <v>162.69999999999999</v>
      </c>
      <c r="S218">
        <v>150.6</v>
      </c>
      <c r="T218">
        <v>145.1</v>
      </c>
      <c r="U218">
        <v>149.9</v>
      </c>
      <c r="V218">
        <v>147.69999999999999</v>
      </c>
      <c r="W218">
        <v>146.19999999999999</v>
      </c>
      <c r="X218">
        <v>150.1</v>
      </c>
      <c r="Y218">
        <v>149.6</v>
      </c>
      <c r="Z218">
        <v>128.6</v>
      </c>
      <c r="AA218">
        <v>142.9</v>
      </c>
      <c r="AB218">
        <v>155.19999999999999</v>
      </c>
      <c r="AC218">
        <v>133.5</v>
      </c>
      <c r="AD218">
        <v>141.69999999999999</v>
      </c>
      <c r="AE218">
        <v>141</v>
      </c>
      <c r="AF218">
        <f t="shared" si="6"/>
        <v>135.18333333333334</v>
      </c>
      <c r="AG218">
        <v>162.69999999999999</v>
      </c>
      <c r="AH218">
        <f>AVERAGE(Table1[[#This Row],[Clothing]:[Footwear]])</f>
        <v>147.85</v>
      </c>
      <c r="AI218">
        <v>146.19999999999999</v>
      </c>
      <c r="AJ218">
        <v>150.1</v>
      </c>
      <c r="AK218">
        <v>128.6</v>
      </c>
      <c r="AL218">
        <v>142.9</v>
      </c>
      <c r="AM218" t="str">
        <f t="shared" si="7"/>
        <v>Pre-COVID</v>
      </c>
    </row>
    <row r="219" spans="1:39" x14ac:dyDescent="0.35">
      <c r="A219" t="s">
        <v>33</v>
      </c>
      <c r="B219">
        <v>2019</v>
      </c>
      <c r="C219" t="s">
        <v>31</v>
      </c>
      <c r="D219" s="4">
        <f>DATE(B219,MATCH(C219,{"January","February","March","April","May","June","July","August","September","October","November","December"},0),1)</f>
        <v>43466</v>
      </c>
      <c r="E219">
        <v>138.30000000000001</v>
      </c>
      <c r="F219">
        <v>149.4</v>
      </c>
      <c r="G219">
        <v>143.5</v>
      </c>
      <c r="H219">
        <v>141.69999999999999</v>
      </c>
      <c r="I219">
        <v>118.1</v>
      </c>
      <c r="J219">
        <v>135.19999999999999</v>
      </c>
      <c r="K219">
        <v>130.5</v>
      </c>
      <c r="L219">
        <v>118.2</v>
      </c>
      <c r="M219">
        <v>110.4</v>
      </c>
      <c r="N219">
        <v>140.4</v>
      </c>
      <c r="O219">
        <v>128.1</v>
      </c>
      <c r="P219">
        <v>153.19999999999999</v>
      </c>
      <c r="Q219">
        <v>137.30000000000001</v>
      </c>
      <c r="R219">
        <v>164.7</v>
      </c>
      <c r="S219">
        <v>143</v>
      </c>
      <c r="T219">
        <v>130.4</v>
      </c>
      <c r="U219">
        <v>141.1</v>
      </c>
      <c r="V219">
        <v>147.69999999999999</v>
      </c>
      <c r="W219">
        <v>128.6</v>
      </c>
      <c r="X219">
        <v>136.30000000000001</v>
      </c>
      <c r="Y219">
        <v>137.80000000000001</v>
      </c>
      <c r="Z219">
        <v>118.6</v>
      </c>
      <c r="AA219">
        <v>131.9</v>
      </c>
      <c r="AB219">
        <v>146.6</v>
      </c>
      <c r="AC219">
        <v>131.69999999999999</v>
      </c>
      <c r="AD219">
        <v>131.80000000000001</v>
      </c>
      <c r="AE219">
        <v>138</v>
      </c>
      <c r="AF219">
        <f t="shared" si="6"/>
        <v>133.91666666666669</v>
      </c>
      <c r="AG219">
        <v>164.7</v>
      </c>
      <c r="AH219">
        <f>AVERAGE(Table1[[#This Row],[Clothing]:[Footwear]])</f>
        <v>136.69999999999999</v>
      </c>
      <c r="AI219">
        <v>128.6</v>
      </c>
      <c r="AJ219">
        <v>136.30000000000001</v>
      </c>
      <c r="AK219">
        <v>118.6</v>
      </c>
      <c r="AL219">
        <v>131.9</v>
      </c>
      <c r="AM219" t="str">
        <f t="shared" si="7"/>
        <v>Pre-COVID</v>
      </c>
    </row>
    <row r="220" spans="1:39" x14ac:dyDescent="0.35">
      <c r="A220" t="s">
        <v>34</v>
      </c>
      <c r="B220">
        <v>2019</v>
      </c>
      <c r="C220" t="s">
        <v>31</v>
      </c>
      <c r="D220" s="4">
        <f>DATE(B220,MATCH(C220,{"January","February","March","April","May","June","July","August","September","October","November","December"},0),1)</f>
        <v>43466</v>
      </c>
      <c r="E220">
        <v>137.1</v>
      </c>
      <c r="F220">
        <v>151.4</v>
      </c>
      <c r="G220">
        <v>140.19999999999999</v>
      </c>
      <c r="H220">
        <v>142.1</v>
      </c>
      <c r="I220">
        <v>121.8</v>
      </c>
      <c r="J220">
        <v>135.4</v>
      </c>
      <c r="K220">
        <v>131.30000000000001</v>
      </c>
      <c r="L220">
        <v>120.3</v>
      </c>
      <c r="M220">
        <v>109.1</v>
      </c>
      <c r="N220">
        <v>139.4</v>
      </c>
      <c r="O220">
        <v>133.30000000000001</v>
      </c>
      <c r="P220">
        <v>154.6</v>
      </c>
      <c r="Q220">
        <v>137.4</v>
      </c>
      <c r="R220">
        <v>163.19999999999999</v>
      </c>
      <c r="S220">
        <v>147.6</v>
      </c>
      <c r="T220">
        <v>139</v>
      </c>
      <c r="U220">
        <v>146.4</v>
      </c>
      <c r="V220">
        <v>147.69999999999999</v>
      </c>
      <c r="W220">
        <v>139.5</v>
      </c>
      <c r="X220">
        <v>143.6</v>
      </c>
      <c r="Y220">
        <v>145.1</v>
      </c>
      <c r="Z220">
        <v>123.3</v>
      </c>
      <c r="AA220">
        <v>136.69999999999999</v>
      </c>
      <c r="AB220">
        <v>150.19999999999999</v>
      </c>
      <c r="AC220">
        <v>132.80000000000001</v>
      </c>
      <c r="AD220">
        <v>136.9</v>
      </c>
      <c r="AE220">
        <v>139.6</v>
      </c>
      <c r="AF220">
        <f t="shared" si="6"/>
        <v>134.66666666666666</v>
      </c>
      <c r="AG220">
        <v>163.19999999999999</v>
      </c>
      <c r="AH220">
        <f>AVERAGE(Table1[[#This Row],[Clothing]:[Footwear]])</f>
        <v>143.30000000000001</v>
      </c>
      <c r="AI220">
        <v>139.5</v>
      </c>
      <c r="AJ220">
        <v>143.6</v>
      </c>
      <c r="AK220">
        <v>123.3</v>
      </c>
      <c r="AL220">
        <v>136.69999999999999</v>
      </c>
      <c r="AM220" t="str">
        <f t="shared" si="7"/>
        <v>Pre-COVID</v>
      </c>
    </row>
    <row r="221" spans="1:39" x14ac:dyDescent="0.35">
      <c r="A221" t="s">
        <v>30</v>
      </c>
      <c r="B221">
        <v>2019</v>
      </c>
      <c r="C221" t="s">
        <v>35</v>
      </c>
      <c r="D221" s="4">
        <f>DATE(B221,MATCH(C221,{"January","February","March","April","May","June","July","August","September","October","November","December"},0),1)</f>
        <v>43497</v>
      </c>
      <c r="E221">
        <v>136.80000000000001</v>
      </c>
      <c r="F221">
        <v>153</v>
      </c>
      <c r="G221">
        <v>139.1</v>
      </c>
      <c r="H221">
        <v>142.5</v>
      </c>
      <c r="I221">
        <v>124.1</v>
      </c>
      <c r="J221">
        <v>135.80000000000001</v>
      </c>
      <c r="K221">
        <v>128.69999999999999</v>
      </c>
      <c r="L221">
        <v>121.5</v>
      </c>
      <c r="M221">
        <v>108.3</v>
      </c>
      <c r="N221">
        <v>139.19999999999999</v>
      </c>
      <c r="O221">
        <v>137.4</v>
      </c>
      <c r="P221">
        <v>156.19999999999999</v>
      </c>
      <c r="Q221">
        <v>137.19999999999999</v>
      </c>
      <c r="R221">
        <v>162.80000000000001</v>
      </c>
      <c r="S221">
        <v>150.5</v>
      </c>
      <c r="T221">
        <v>146.1</v>
      </c>
      <c r="U221">
        <v>149.9</v>
      </c>
      <c r="V221">
        <v>148.5</v>
      </c>
      <c r="W221">
        <v>145.30000000000001</v>
      </c>
      <c r="X221">
        <v>150.1</v>
      </c>
      <c r="Y221">
        <v>149.9</v>
      </c>
      <c r="Z221">
        <v>129.19999999999999</v>
      </c>
      <c r="AA221">
        <v>143.4</v>
      </c>
      <c r="AB221">
        <v>155.5</v>
      </c>
      <c r="AC221">
        <v>134.9</v>
      </c>
      <c r="AD221">
        <v>142.19999999999999</v>
      </c>
      <c r="AE221">
        <v>141</v>
      </c>
      <c r="AF221">
        <f t="shared" si="6"/>
        <v>135.21666666666667</v>
      </c>
      <c r="AG221">
        <v>162.80000000000001</v>
      </c>
      <c r="AH221">
        <f>AVERAGE(Table1[[#This Row],[Clothing]:[Footwear]])</f>
        <v>148.30000000000001</v>
      </c>
      <c r="AI221">
        <v>145.30000000000001</v>
      </c>
      <c r="AJ221">
        <v>150.1</v>
      </c>
      <c r="AK221">
        <v>129.19999999999999</v>
      </c>
      <c r="AL221">
        <v>143.4</v>
      </c>
      <c r="AM221" t="str">
        <f t="shared" si="7"/>
        <v>Pre-COVID</v>
      </c>
    </row>
    <row r="222" spans="1:39" x14ac:dyDescent="0.35">
      <c r="A222" t="s">
        <v>33</v>
      </c>
      <c r="B222">
        <v>2019</v>
      </c>
      <c r="C222" t="s">
        <v>35</v>
      </c>
      <c r="D222" s="4">
        <f>DATE(B222,MATCH(C222,{"January","February","March","April","May","June","July","August","September","October","November","December"},0),1)</f>
        <v>43497</v>
      </c>
      <c r="E222">
        <v>139.4</v>
      </c>
      <c r="F222">
        <v>150.1</v>
      </c>
      <c r="G222">
        <v>145.30000000000001</v>
      </c>
      <c r="H222">
        <v>141.69999999999999</v>
      </c>
      <c r="I222">
        <v>118.4</v>
      </c>
      <c r="J222">
        <v>137</v>
      </c>
      <c r="K222">
        <v>131.6</v>
      </c>
      <c r="L222">
        <v>119.9</v>
      </c>
      <c r="M222">
        <v>110.4</v>
      </c>
      <c r="N222">
        <v>140.80000000000001</v>
      </c>
      <c r="O222">
        <v>128.30000000000001</v>
      </c>
      <c r="P222">
        <v>153.5</v>
      </c>
      <c r="Q222">
        <v>138</v>
      </c>
      <c r="R222">
        <v>164.9</v>
      </c>
      <c r="S222">
        <v>143.30000000000001</v>
      </c>
      <c r="T222">
        <v>130.80000000000001</v>
      </c>
      <c r="U222">
        <v>141.4</v>
      </c>
      <c r="V222">
        <v>148.5</v>
      </c>
      <c r="W222">
        <v>127.1</v>
      </c>
      <c r="X222">
        <v>136.6</v>
      </c>
      <c r="Y222">
        <v>138.5</v>
      </c>
      <c r="Z222">
        <v>119.2</v>
      </c>
      <c r="AA222">
        <v>132.19999999999999</v>
      </c>
      <c r="AB222">
        <v>146.6</v>
      </c>
      <c r="AC222">
        <v>133</v>
      </c>
      <c r="AD222">
        <v>132.4</v>
      </c>
      <c r="AE222">
        <v>138.6</v>
      </c>
      <c r="AF222">
        <f t="shared" si="6"/>
        <v>134.70000000000002</v>
      </c>
      <c r="AG222">
        <v>164.9</v>
      </c>
      <c r="AH222">
        <f>AVERAGE(Table1[[#This Row],[Clothing]:[Footwear]])</f>
        <v>137.05000000000001</v>
      </c>
      <c r="AI222">
        <v>127.1</v>
      </c>
      <c r="AJ222">
        <v>136.6</v>
      </c>
      <c r="AK222">
        <v>119.2</v>
      </c>
      <c r="AL222">
        <v>132.19999999999999</v>
      </c>
      <c r="AM222" t="str">
        <f t="shared" si="7"/>
        <v>Pre-COVID</v>
      </c>
    </row>
    <row r="223" spans="1:39" x14ac:dyDescent="0.35">
      <c r="A223" t="s">
        <v>34</v>
      </c>
      <c r="B223">
        <v>2019</v>
      </c>
      <c r="C223" t="s">
        <v>35</v>
      </c>
      <c r="D223" s="4">
        <f>DATE(B223,MATCH(C223,{"January","February","March","April","May","June","July","August","September","October","November","December"},0),1)</f>
        <v>43497</v>
      </c>
      <c r="E223">
        <v>137.6</v>
      </c>
      <c r="F223">
        <v>152</v>
      </c>
      <c r="G223">
        <v>141.5</v>
      </c>
      <c r="H223">
        <v>142.19999999999999</v>
      </c>
      <c r="I223">
        <v>122</v>
      </c>
      <c r="J223">
        <v>136.4</v>
      </c>
      <c r="K223">
        <v>129.69999999999999</v>
      </c>
      <c r="L223">
        <v>121</v>
      </c>
      <c r="M223">
        <v>109</v>
      </c>
      <c r="N223">
        <v>139.69999999999999</v>
      </c>
      <c r="O223">
        <v>133.6</v>
      </c>
      <c r="P223">
        <v>154.9</v>
      </c>
      <c r="Q223">
        <v>137.5</v>
      </c>
      <c r="R223">
        <v>163.4</v>
      </c>
      <c r="S223">
        <v>147.69999999999999</v>
      </c>
      <c r="T223">
        <v>139.69999999999999</v>
      </c>
      <c r="U223">
        <v>146.5</v>
      </c>
      <c r="V223">
        <v>148.5</v>
      </c>
      <c r="W223">
        <v>138.4</v>
      </c>
      <c r="X223">
        <v>143.69999999999999</v>
      </c>
      <c r="Y223">
        <v>145.6</v>
      </c>
      <c r="Z223">
        <v>123.9</v>
      </c>
      <c r="AA223">
        <v>137.1</v>
      </c>
      <c r="AB223">
        <v>150.30000000000001</v>
      </c>
      <c r="AC223">
        <v>134.1</v>
      </c>
      <c r="AD223">
        <v>137.4</v>
      </c>
      <c r="AE223">
        <v>139.9</v>
      </c>
      <c r="AF223">
        <f t="shared" si="6"/>
        <v>134.96666666666667</v>
      </c>
      <c r="AG223">
        <v>163.4</v>
      </c>
      <c r="AH223">
        <f>AVERAGE(Table1[[#This Row],[Clothing]:[Footwear]])</f>
        <v>143.69999999999999</v>
      </c>
      <c r="AI223">
        <v>138.4</v>
      </c>
      <c r="AJ223">
        <v>143.69999999999999</v>
      </c>
      <c r="AK223">
        <v>123.9</v>
      </c>
      <c r="AL223">
        <v>137.1</v>
      </c>
      <c r="AM223" t="str">
        <f t="shared" si="7"/>
        <v>Pre-COVID</v>
      </c>
    </row>
    <row r="224" spans="1:39" x14ac:dyDescent="0.35">
      <c r="A224" t="s">
        <v>30</v>
      </c>
      <c r="B224">
        <v>2019</v>
      </c>
      <c r="C224" t="s">
        <v>36</v>
      </c>
      <c r="D224" s="4">
        <f>DATE(B224,MATCH(C224,{"January","February","March","April","May","June","July","August","September","October","November","December"},0),1)</f>
        <v>43525</v>
      </c>
      <c r="E224">
        <v>136.9</v>
      </c>
      <c r="F224">
        <v>154.1</v>
      </c>
      <c r="G224">
        <v>138.69999999999999</v>
      </c>
      <c r="H224">
        <v>142.5</v>
      </c>
      <c r="I224">
        <v>124.1</v>
      </c>
      <c r="J224">
        <v>136.1</v>
      </c>
      <c r="K224">
        <v>128.19999999999999</v>
      </c>
      <c r="L224">
        <v>122.3</v>
      </c>
      <c r="M224">
        <v>108.3</v>
      </c>
      <c r="N224">
        <v>138.9</v>
      </c>
      <c r="O224">
        <v>137.4</v>
      </c>
      <c r="P224">
        <v>156.4</v>
      </c>
      <c r="Q224">
        <v>137.30000000000001</v>
      </c>
      <c r="R224">
        <v>162.9</v>
      </c>
      <c r="S224">
        <v>150.80000000000001</v>
      </c>
      <c r="T224">
        <v>146.1</v>
      </c>
      <c r="U224">
        <v>150.1</v>
      </c>
      <c r="V224">
        <v>149</v>
      </c>
      <c r="W224">
        <v>146.4</v>
      </c>
      <c r="X224">
        <v>150</v>
      </c>
      <c r="Y224">
        <v>150.4</v>
      </c>
      <c r="Z224">
        <v>129.9</v>
      </c>
      <c r="AA224">
        <v>143.80000000000001</v>
      </c>
      <c r="AB224">
        <v>155.5</v>
      </c>
      <c r="AC224">
        <v>134</v>
      </c>
      <c r="AD224">
        <v>142.4</v>
      </c>
      <c r="AE224">
        <v>141.19999999999999</v>
      </c>
      <c r="AF224">
        <f t="shared" si="6"/>
        <v>135.32500000000002</v>
      </c>
      <c r="AG224">
        <v>162.9</v>
      </c>
      <c r="AH224">
        <f>AVERAGE(Table1[[#This Row],[Clothing]:[Footwear]])</f>
        <v>148.44999999999999</v>
      </c>
      <c r="AI224">
        <v>146.4</v>
      </c>
      <c r="AJ224">
        <v>150</v>
      </c>
      <c r="AK224">
        <v>129.9</v>
      </c>
      <c r="AL224">
        <v>143.80000000000001</v>
      </c>
      <c r="AM224" t="str">
        <f t="shared" si="7"/>
        <v>Pre-COVID</v>
      </c>
    </row>
    <row r="225" spans="1:39" x14ac:dyDescent="0.35">
      <c r="A225" t="s">
        <v>33</v>
      </c>
      <c r="B225">
        <v>2019</v>
      </c>
      <c r="C225" t="s">
        <v>36</v>
      </c>
      <c r="D225" s="4">
        <f>DATE(B225,MATCH(C225,{"January","February","March","April","May","June","July","August","September","October","November","December"},0),1)</f>
        <v>43525</v>
      </c>
      <c r="E225">
        <v>139.69999999999999</v>
      </c>
      <c r="F225">
        <v>151.1</v>
      </c>
      <c r="G225">
        <v>142.9</v>
      </c>
      <c r="H225">
        <v>141.9</v>
      </c>
      <c r="I225">
        <v>118.4</v>
      </c>
      <c r="J225">
        <v>139.4</v>
      </c>
      <c r="K225">
        <v>141.19999999999999</v>
      </c>
      <c r="L225">
        <v>120.7</v>
      </c>
      <c r="M225">
        <v>110.4</v>
      </c>
      <c r="N225">
        <v>140.69999999999999</v>
      </c>
      <c r="O225">
        <v>128.5</v>
      </c>
      <c r="P225">
        <v>153.9</v>
      </c>
      <c r="Q225">
        <v>139.6</v>
      </c>
      <c r="R225">
        <v>165.3</v>
      </c>
      <c r="S225">
        <v>143.5</v>
      </c>
      <c r="T225">
        <v>131.19999999999999</v>
      </c>
      <c r="U225">
        <v>141.6</v>
      </c>
      <c r="V225">
        <v>149</v>
      </c>
      <c r="W225">
        <v>128.80000000000001</v>
      </c>
      <c r="X225">
        <v>136.80000000000001</v>
      </c>
      <c r="Y225">
        <v>139.19999999999999</v>
      </c>
      <c r="Z225">
        <v>119.9</v>
      </c>
      <c r="AA225">
        <v>133</v>
      </c>
      <c r="AB225">
        <v>146.69999999999999</v>
      </c>
      <c r="AC225">
        <v>132.5</v>
      </c>
      <c r="AD225">
        <v>132.80000000000001</v>
      </c>
      <c r="AE225">
        <v>139.5</v>
      </c>
      <c r="AF225">
        <f t="shared" si="6"/>
        <v>135.73333333333335</v>
      </c>
      <c r="AG225">
        <v>165.3</v>
      </c>
      <c r="AH225">
        <f>AVERAGE(Table1[[#This Row],[Clothing]:[Footwear]])</f>
        <v>137.35</v>
      </c>
      <c r="AI225">
        <v>128.80000000000001</v>
      </c>
      <c r="AJ225">
        <v>136.80000000000001</v>
      </c>
      <c r="AK225">
        <v>119.9</v>
      </c>
      <c r="AL225">
        <v>133</v>
      </c>
      <c r="AM225" t="str">
        <f t="shared" si="7"/>
        <v>Pre-COVID</v>
      </c>
    </row>
    <row r="226" spans="1:39" x14ac:dyDescent="0.35">
      <c r="A226" t="s">
        <v>34</v>
      </c>
      <c r="B226">
        <v>2019</v>
      </c>
      <c r="C226" t="s">
        <v>36</v>
      </c>
      <c r="D226" s="4">
        <f>DATE(B226,MATCH(C226,{"January","February","March","April","May","June","July","August","September","October","November","December"},0),1)</f>
        <v>43525</v>
      </c>
      <c r="E226">
        <v>137.80000000000001</v>
      </c>
      <c r="F226">
        <v>153</v>
      </c>
      <c r="G226">
        <v>140.30000000000001</v>
      </c>
      <c r="H226">
        <v>142.30000000000001</v>
      </c>
      <c r="I226">
        <v>122</v>
      </c>
      <c r="J226">
        <v>137.6</v>
      </c>
      <c r="K226">
        <v>132.6</v>
      </c>
      <c r="L226">
        <v>121.8</v>
      </c>
      <c r="M226">
        <v>109</v>
      </c>
      <c r="N226">
        <v>139.5</v>
      </c>
      <c r="O226">
        <v>133.69999999999999</v>
      </c>
      <c r="P226">
        <v>155.19999999999999</v>
      </c>
      <c r="Q226">
        <v>138.1</v>
      </c>
      <c r="R226">
        <v>163.5</v>
      </c>
      <c r="S226">
        <v>147.9</v>
      </c>
      <c r="T226">
        <v>139.9</v>
      </c>
      <c r="U226">
        <v>146.69999999999999</v>
      </c>
      <c r="V226">
        <v>149</v>
      </c>
      <c r="W226">
        <v>139.69999999999999</v>
      </c>
      <c r="X226">
        <v>143.80000000000001</v>
      </c>
      <c r="Y226">
        <v>146.19999999999999</v>
      </c>
      <c r="Z226">
        <v>124.6</v>
      </c>
      <c r="AA226">
        <v>137.69999999999999</v>
      </c>
      <c r="AB226">
        <v>150.30000000000001</v>
      </c>
      <c r="AC226">
        <v>133.4</v>
      </c>
      <c r="AD226">
        <v>137.69999999999999</v>
      </c>
      <c r="AE226">
        <v>140.4</v>
      </c>
      <c r="AF226">
        <f t="shared" si="6"/>
        <v>135.4</v>
      </c>
      <c r="AG226">
        <v>163.5</v>
      </c>
      <c r="AH226">
        <f>AVERAGE(Table1[[#This Row],[Clothing]:[Footwear]])</f>
        <v>143.9</v>
      </c>
      <c r="AI226">
        <v>139.69999999999999</v>
      </c>
      <c r="AJ226">
        <v>143.80000000000001</v>
      </c>
      <c r="AK226">
        <v>124.6</v>
      </c>
      <c r="AL226">
        <v>137.69999999999999</v>
      </c>
      <c r="AM226" t="str">
        <f t="shared" si="7"/>
        <v>Pre-COVID</v>
      </c>
    </row>
    <row r="227" spans="1:39" x14ac:dyDescent="0.35">
      <c r="A227" t="s">
        <v>30</v>
      </c>
      <c r="B227">
        <v>2019</v>
      </c>
      <c r="C227" t="s">
        <v>38</v>
      </c>
      <c r="D227" s="4">
        <f>DATE(B227,MATCH(C227,{"January","February","March","April","May","June","July","August","September","October","November","December"},0),1)</f>
        <v>43586</v>
      </c>
      <c r="E227">
        <v>137.4</v>
      </c>
      <c r="F227">
        <v>159.5</v>
      </c>
      <c r="G227">
        <v>134.5</v>
      </c>
      <c r="H227">
        <v>142.6</v>
      </c>
      <c r="I227">
        <v>124</v>
      </c>
      <c r="J227">
        <v>143.69999999999999</v>
      </c>
      <c r="K227">
        <v>133.4</v>
      </c>
      <c r="L227">
        <v>125.1</v>
      </c>
      <c r="M227">
        <v>109.3</v>
      </c>
      <c r="N227">
        <v>139.30000000000001</v>
      </c>
      <c r="O227">
        <v>137.69999999999999</v>
      </c>
      <c r="P227">
        <v>156.4</v>
      </c>
      <c r="Q227">
        <v>139.19999999999999</v>
      </c>
      <c r="R227">
        <v>163.30000000000001</v>
      </c>
      <c r="S227">
        <v>151.30000000000001</v>
      </c>
      <c r="T227">
        <v>146.6</v>
      </c>
      <c r="U227">
        <v>150.69999999999999</v>
      </c>
      <c r="V227">
        <v>150.1</v>
      </c>
      <c r="W227">
        <v>146.9</v>
      </c>
      <c r="X227">
        <v>149.5</v>
      </c>
      <c r="Y227">
        <v>151.30000000000001</v>
      </c>
      <c r="Z227">
        <v>130.19999999999999</v>
      </c>
      <c r="AA227">
        <v>145.9</v>
      </c>
      <c r="AB227">
        <v>156.69999999999999</v>
      </c>
      <c r="AC227">
        <v>133.9</v>
      </c>
      <c r="AD227">
        <v>142.9</v>
      </c>
      <c r="AE227">
        <v>142.4</v>
      </c>
      <c r="AF227">
        <f t="shared" si="6"/>
        <v>136.90833333333333</v>
      </c>
      <c r="AG227">
        <v>163.30000000000001</v>
      </c>
      <c r="AH227">
        <f>AVERAGE(Table1[[#This Row],[Clothing]:[Footwear]])</f>
        <v>148.94999999999999</v>
      </c>
      <c r="AI227">
        <v>146.9</v>
      </c>
      <c r="AJ227">
        <v>149.5</v>
      </c>
      <c r="AK227">
        <v>130.19999999999999</v>
      </c>
      <c r="AL227">
        <v>145.9</v>
      </c>
      <c r="AM227" t="str">
        <f t="shared" si="7"/>
        <v>Pre-COVID</v>
      </c>
    </row>
    <row r="228" spans="1:39" x14ac:dyDescent="0.35">
      <c r="A228" t="s">
        <v>33</v>
      </c>
      <c r="B228">
        <v>2019</v>
      </c>
      <c r="C228" t="s">
        <v>38</v>
      </c>
      <c r="D228" s="4">
        <f>DATE(B228,MATCH(C228,{"January","February","March","April","May","June","July","August","September","October","November","December"},0),1)</f>
        <v>43586</v>
      </c>
      <c r="E228">
        <v>140.4</v>
      </c>
      <c r="F228">
        <v>156.69999999999999</v>
      </c>
      <c r="G228">
        <v>138.30000000000001</v>
      </c>
      <c r="H228">
        <v>142.4</v>
      </c>
      <c r="I228">
        <v>118.6</v>
      </c>
      <c r="J228">
        <v>149.69999999999999</v>
      </c>
      <c r="K228">
        <v>161.6</v>
      </c>
      <c r="L228">
        <v>124.4</v>
      </c>
      <c r="M228">
        <v>111.2</v>
      </c>
      <c r="N228">
        <v>141</v>
      </c>
      <c r="O228">
        <v>128.9</v>
      </c>
      <c r="P228">
        <v>154.5</v>
      </c>
      <c r="Q228">
        <v>143.80000000000001</v>
      </c>
      <c r="R228">
        <v>166.2</v>
      </c>
      <c r="S228">
        <v>144</v>
      </c>
      <c r="T228">
        <v>131.69999999999999</v>
      </c>
      <c r="U228">
        <v>142.19999999999999</v>
      </c>
      <c r="V228">
        <v>150.1</v>
      </c>
      <c r="W228">
        <v>129.4</v>
      </c>
      <c r="X228">
        <v>137.19999999999999</v>
      </c>
      <c r="Y228">
        <v>139.80000000000001</v>
      </c>
      <c r="Z228">
        <v>120.1</v>
      </c>
      <c r="AA228">
        <v>134</v>
      </c>
      <c r="AB228">
        <v>148</v>
      </c>
      <c r="AC228">
        <v>132.6</v>
      </c>
      <c r="AD228">
        <v>133.30000000000001</v>
      </c>
      <c r="AE228">
        <v>141.5</v>
      </c>
      <c r="AF228">
        <f t="shared" si="6"/>
        <v>138.97500000000002</v>
      </c>
      <c r="AG228">
        <v>166.2</v>
      </c>
      <c r="AH228">
        <f>AVERAGE(Table1[[#This Row],[Clothing]:[Footwear]])</f>
        <v>137.85</v>
      </c>
      <c r="AI228">
        <v>129.4</v>
      </c>
      <c r="AJ228">
        <v>137.19999999999999</v>
      </c>
      <c r="AK228">
        <v>120.1</v>
      </c>
      <c r="AL228">
        <v>134</v>
      </c>
      <c r="AM228" t="str">
        <f t="shared" si="7"/>
        <v>Pre-COVID</v>
      </c>
    </row>
    <row r="229" spans="1:39" x14ac:dyDescent="0.35">
      <c r="A229" t="s">
        <v>34</v>
      </c>
      <c r="B229">
        <v>2019</v>
      </c>
      <c r="C229" t="s">
        <v>38</v>
      </c>
      <c r="D229" s="4">
        <f>DATE(B229,MATCH(C229,{"January","February","March","April","May","June","July","August","September","October","November","December"},0),1)</f>
        <v>43586</v>
      </c>
      <c r="E229">
        <v>138.30000000000001</v>
      </c>
      <c r="F229">
        <v>158.5</v>
      </c>
      <c r="G229">
        <v>136</v>
      </c>
      <c r="H229">
        <v>142.5</v>
      </c>
      <c r="I229">
        <v>122</v>
      </c>
      <c r="J229">
        <v>146.5</v>
      </c>
      <c r="K229">
        <v>143</v>
      </c>
      <c r="L229">
        <v>124.9</v>
      </c>
      <c r="M229">
        <v>109.9</v>
      </c>
      <c r="N229">
        <v>139.9</v>
      </c>
      <c r="O229">
        <v>134</v>
      </c>
      <c r="P229">
        <v>155.5</v>
      </c>
      <c r="Q229">
        <v>140.9</v>
      </c>
      <c r="R229">
        <v>164.1</v>
      </c>
      <c r="S229">
        <v>148.4</v>
      </c>
      <c r="T229">
        <v>140.4</v>
      </c>
      <c r="U229">
        <v>147.30000000000001</v>
      </c>
      <c r="V229">
        <v>150.1</v>
      </c>
      <c r="W229">
        <v>140.30000000000001</v>
      </c>
      <c r="X229">
        <v>143.69999999999999</v>
      </c>
      <c r="Y229">
        <v>146.9</v>
      </c>
      <c r="Z229">
        <v>124.9</v>
      </c>
      <c r="AA229">
        <v>139.19999999999999</v>
      </c>
      <c r="AB229">
        <v>151.6</v>
      </c>
      <c r="AC229">
        <v>133.4</v>
      </c>
      <c r="AD229">
        <v>138.19999999999999</v>
      </c>
      <c r="AE229">
        <v>142</v>
      </c>
      <c r="AF229">
        <f t="shared" si="6"/>
        <v>137.58333333333334</v>
      </c>
      <c r="AG229">
        <v>164.1</v>
      </c>
      <c r="AH229">
        <f>AVERAGE(Table1[[#This Row],[Clothing]:[Footwear]])</f>
        <v>144.4</v>
      </c>
      <c r="AI229">
        <v>140.30000000000001</v>
      </c>
      <c r="AJ229">
        <v>143.69999999999999</v>
      </c>
      <c r="AK229">
        <v>124.9</v>
      </c>
      <c r="AL229">
        <v>139.19999999999999</v>
      </c>
      <c r="AM229" t="str">
        <f t="shared" si="7"/>
        <v>Pre-COVID</v>
      </c>
    </row>
    <row r="230" spans="1:39" x14ac:dyDescent="0.35">
      <c r="A230" t="s">
        <v>30</v>
      </c>
      <c r="B230">
        <v>2019</v>
      </c>
      <c r="C230" t="s">
        <v>39</v>
      </c>
      <c r="D230" s="4">
        <f>DATE(B230,MATCH(C230,{"January","February","March","April","May","June","July","August","September","October","November","December"},0),1)</f>
        <v>43617</v>
      </c>
      <c r="E230">
        <v>137.80000000000001</v>
      </c>
      <c r="F230">
        <v>163.5</v>
      </c>
      <c r="G230">
        <v>136.19999999999999</v>
      </c>
      <c r="H230">
        <v>143.19999999999999</v>
      </c>
      <c r="I230">
        <v>124.3</v>
      </c>
      <c r="J230">
        <v>143.30000000000001</v>
      </c>
      <c r="K230">
        <v>140.6</v>
      </c>
      <c r="L230">
        <v>128.69999999999999</v>
      </c>
      <c r="M230">
        <v>110.6</v>
      </c>
      <c r="N230">
        <v>140.4</v>
      </c>
      <c r="O230">
        <v>138</v>
      </c>
      <c r="P230">
        <v>156.6</v>
      </c>
      <c r="Q230">
        <v>141</v>
      </c>
      <c r="R230">
        <v>164.2</v>
      </c>
      <c r="S230">
        <v>151.4</v>
      </c>
      <c r="T230">
        <v>146.5</v>
      </c>
      <c r="U230">
        <v>150.69999999999999</v>
      </c>
      <c r="V230">
        <v>149.4</v>
      </c>
      <c r="W230">
        <v>147.80000000000001</v>
      </c>
      <c r="X230">
        <v>149.6</v>
      </c>
      <c r="Y230">
        <v>151.69999999999999</v>
      </c>
      <c r="Z230">
        <v>130.19999999999999</v>
      </c>
      <c r="AA230">
        <v>146.4</v>
      </c>
      <c r="AB230">
        <v>157.69999999999999</v>
      </c>
      <c r="AC230">
        <v>134.80000000000001</v>
      </c>
      <c r="AD230">
        <v>143.30000000000001</v>
      </c>
      <c r="AE230">
        <v>143.6</v>
      </c>
      <c r="AF230">
        <f t="shared" si="6"/>
        <v>138.6</v>
      </c>
      <c r="AG230">
        <v>164.2</v>
      </c>
      <c r="AH230">
        <f>AVERAGE(Table1[[#This Row],[Clothing]:[Footwear]])</f>
        <v>148.94999999999999</v>
      </c>
      <c r="AI230">
        <v>147.80000000000001</v>
      </c>
      <c r="AJ230">
        <v>149.6</v>
      </c>
      <c r="AK230">
        <v>130.19999999999999</v>
      </c>
      <c r="AL230">
        <v>146.4</v>
      </c>
      <c r="AM230" t="str">
        <f t="shared" si="7"/>
        <v>Pre-COVID</v>
      </c>
    </row>
    <row r="231" spans="1:39" x14ac:dyDescent="0.35">
      <c r="A231" t="s">
        <v>33</v>
      </c>
      <c r="B231">
        <v>2019</v>
      </c>
      <c r="C231" t="s">
        <v>39</v>
      </c>
      <c r="D231" s="4">
        <f>DATE(B231,MATCH(C231,{"January","February","March","April","May","June","July","August","September","October","November","December"},0),1)</f>
        <v>43617</v>
      </c>
      <c r="E231">
        <v>140.69999999999999</v>
      </c>
      <c r="F231">
        <v>159.6</v>
      </c>
      <c r="G231">
        <v>140.4</v>
      </c>
      <c r="H231">
        <v>143.4</v>
      </c>
      <c r="I231">
        <v>118.6</v>
      </c>
      <c r="J231">
        <v>150.9</v>
      </c>
      <c r="K231">
        <v>169.8</v>
      </c>
      <c r="L231">
        <v>127.4</v>
      </c>
      <c r="M231">
        <v>111.8</v>
      </c>
      <c r="N231">
        <v>141</v>
      </c>
      <c r="O231">
        <v>129</v>
      </c>
      <c r="P231">
        <v>155.1</v>
      </c>
      <c r="Q231">
        <v>145.6</v>
      </c>
      <c r="R231">
        <v>166.7</v>
      </c>
      <c r="S231">
        <v>144.30000000000001</v>
      </c>
      <c r="T231">
        <v>131.69999999999999</v>
      </c>
      <c r="U231">
        <v>142.4</v>
      </c>
      <c r="V231">
        <v>149.4</v>
      </c>
      <c r="W231">
        <v>130.5</v>
      </c>
      <c r="X231">
        <v>137.4</v>
      </c>
      <c r="Y231">
        <v>140.30000000000001</v>
      </c>
      <c r="Z231">
        <v>119.6</v>
      </c>
      <c r="AA231">
        <v>134.30000000000001</v>
      </c>
      <c r="AB231">
        <v>148.9</v>
      </c>
      <c r="AC231">
        <v>133.69999999999999</v>
      </c>
      <c r="AD231">
        <v>133.6</v>
      </c>
      <c r="AE231">
        <v>142.1</v>
      </c>
      <c r="AF231">
        <f t="shared" si="6"/>
        <v>140.64166666666665</v>
      </c>
      <c r="AG231">
        <v>166.7</v>
      </c>
      <c r="AH231">
        <f>AVERAGE(Table1[[#This Row],[Clothing]:[Footwear]])</f>
        <v>138</v>
      </c>
      <c r="AI231">
        <v>130.5</v>
      </c>
      <c r="AJ231">
        <v>137.4</v>
      </c>
      <c r="AK231">
        <v>119.6</v>
      </c>
      <c r="AL231">
        <v>134.30000000000001</v>
      </c>
      <c r="AM231" t="str">
        <f t="shared" si="7"/>
        <v>Pre-COVID</v>
      </c>
    </row>
    <row r="232" spans="1:39" x14ac:dyDescent="0.35">
      <c r="A232" t="s">
        <v>34</v>
      </c>
      <c r="B232">
        <v>2019</v>
      </c>
      <c r="C232" t="s">
        <v>39</v>
      </c>
      <c r="D232" s="4">
        <f>DATE(B232,MATCH(C232,{"January","February","March","April","May","June","July","August","September","October","November","December"},0),1)</f>
        <v>43617</v>
      </c>
      <c r="E232">
        <v>138.69999999999999</v>
      </c>
      <c r="F232">
        <v>162.1</v>
      </c>
      <c r="G232">
        <v>137.80000000000001</v>
      </c>
      <c r="H232">
        <v>143.30000000000001</v>
      </c>
      <c r="I232">
        <v>122.2</v>
      </c>
      <c r="J232">
        <v>146.80000000000001</v>
      </c>
      <c r="K232">
        <v>150.5</v>
      </c>
      <c r="L232">
        <v>128.30000000000001</v>
      </c>
      <c r="M232">
        <v>111</v>
      </c>
      <c r="N232">
        <v>140.6</v>
      </c>
      <c r="O232">
        <v>134.19999999999999</v>
      </c>
      <c r="P232">
        <v>155.9</v>
      </c>
      <c r="Q232">
        <v>142.69999999999999</v>
      </c>
      <c r="R232">
        <v>164.9</v>
      </c>
      <c r="S232">
        <v>148.6</v>
      </c>
      <c r="T232">
        <v>140.4</v>
      </c>
      <c r="U232">
        <v>147.4</v>
      </c>
      <c r="V232">
        <v>149.4</v>
      </c>
      <c r="W232">
        <v>141.19999999999999</v>
      </c>
      <c r="X232">
        <v>143.80000000000001</v>
      </c>
      <c r="Y232">
        <v>147.4</v>
      </c>
      <c r="Z232">
        <v>124.6</v>
      </c>
      <c r="AA232">
        <v>139.6</v>
      </c>
      <c r="AB232">
        <v>152.5</v>
      </c>
      <c r="AC232">
        <v>134.30000000000001</v>
      </c>
      <c r="AD232">
        <v>138.6</v>
      </c>
      <c r="AE232">
        <v>142.9</v>
      </c>
      <c r="AF232">
        <f t="shared" si="6"/>
        <v>139.28333333333333</v>
      </c>
      <c r="AG232">
        <v>164.9</v>
      </c>
      <c r="AH232">
        <f>AVERAGE(Table1[[#This Row],[Clothing]:[Footwear]])</f>
        <v>144.5</v>
      </c>
      <c r="AI232">
        <v>141.19999999999999</v>
      </c>
      <c r="AJ232">
        <v>143.80000000000001</v>
      </c>
      <c r="AK232">
        <v>124.6</v>
      </c>
      <c r="AL232">
        <v>139.6</v>
      </c>
      <c r="AM232" t="str">
        <f t="shared" si="7"/>
        <v>Pre-COVID</v>
      </c>
    </row>
    <row r="233" spans="1:39" x14ac:dyDescent="0.35">
      <c r="A233" t="s">
        <v>30</v>
      </c>
      <c r="B233">
        <v>2019</v>
      </c>
      <c r="C233" t="s">
        <v>40</v>
      </c>
      <c r="D233" s="4">
        <f>DATE(B233,MATCH(C233,{"January","February","March","April","May","June","July","August","September","October","November","December"},0),1)</f>
        <v>43647</v>
      </c>
      <c r="E233">
        <v>138.4</v>
      </c>
      <c r="F233">
        <v>164</v>
      </c>
      <c r="G233">
        <v>138.4</v>
      </c>
      <c r="H233">
        <v>143.9</v>
      </c>
      <c r="I233">
        <v>124.4</v>
      </c>
      <c r="J233">
        <v>146.4</v>
      </c>
      <c r="K233">
        <v>150.1</v>
      </c>
      <c r="L233">
        <v>130.6</v>
      </c>
      <c r="M233">
        <v>110.8</v>
      </c>
      <c r="N233">
        <v>141.69999999999999</v>
      </c>
      <c r="O233">
        <v>138.5</v>
      </c>
      <c r="P233">
        <v>156.69999999999999</v>
      </c>
      <c r="Q233">
        <v>143</v>
      </c>
      <c r="R233">
        <v>164.5</v>
      </c>
      <c r="S233">
        <v>151.6</v>
      </c>
      <c r="T233">
        <v>146.6</v>
      </c>
      <c r="U233">
        <v>150.9</v>
      </c>
      <c r="V233">
        <v>150.6</v>
      </c>
      <c r="W233">
        <v>146.80000000000001</v>
      </c>
      <c r="X233">
        <v>150</v>
      </c>
      <c r="Y233">
        <v>152.19999999999999</v>
      </c>
      <c r="Z233">
        <v>131.19999999999999</v>
      </c>
      <c r="AA233">
        <v>147.5</v>
      </c>
      <c r="AB233">
        <v>159.1</v>
      </c>
      <c r="AC233">
        <v>136.1</v>
      </c>
      <c r="AD233">
        <v>144.19999999999999</v>
      </c>
      <c r="AE233">
        <v>144.9</v>
      </c>
      <c r="AF233">
        <f t="shared" si="6"/>
        <v>140.32499999999999</v>
      </c>
      <c r="AG233">
        <v>164.5</v>
      </c>
      <c r="AH233">
        <f>AVERAGE(Table1[[#This Row],[Clothing]:[Footwear]])</f>
        <v>149.1</v>
      </c>
      <c r="AI233">
        <v>146.80000000000001</v>
      </c>
      <c r="AJ233">
        <v>150</v>
      </c>
      <c r="AK233">
        <v>131.19999999999999</v>
      </c>
      <c r="AL233">
        <v>147.5</v>
      </c>
      <c r="AM233" t="str">
        <f t="shared" si="7"/>
        <v>Pre-COVID</v>
      </c>
    </row>
    <row r="234" spans="1:39" x14ac:dyDescent="0.35">
      <c r="A234" t="s">
        <v>33</v>
      </c>
      <c r="B234">
        <v>2019</v>
      </c>
      <c r="C234" t="s">
        <v>40</v>
      </c>
      <c r="D234" s="4">
        <f>DATE(B234,MATCH(C234,{"January","February","March","April","May","June","July","August","September","October","November","December"},0),1)</f>
        <v>43647</v>
      </c>
      <c r="E234">
        <v>141.4</v>
      </c>
      <c r="F234">
        <v>160.19999999999999</v>
      </c>
      <c r="G234">
        <v>142.5</v>
      </c>
      <c r="H234">
        <v>144.1</v>
      </c>
      <c r="I234">
        <v>119.3</v>
      </c>
      <c r="J234">
        <v>154.69999999999999</v>
      </c>
      <c r="K234">
        <v>180.1</v>
      </c>
      <c r="L234">
        <v>128.9</v>
      </c>
      <c r="M234">
        <v>111.8</v>
      </c>
      <c r="N234">
        <v>141.6</v>
      </c>
      <c r="O234">
        <v>129.5</v>
      </c>
      <c r="P234">
        <v>155.6</v>
      </c>
      <c r="Q234">
        <v>147.69999999999999</v>
      </c>
      <c r="R234">
        <v>167.2</v>
      </c>
      <c r="S234">
        <v>144.69999999999999</v>
      </c>
      <c r="T234">
        <v>131.9</v>
      </c>
      <c r="U234">
        <v>142.69999999999999</v>
      </c>
      <c r="V234">
        <v>150.6</v>
      </c>
      <c r="W234">
        <v>127</v>
      </c>
      <c r="X234">
        <v>137.69999999999999</v>
      </c>
      <c r="Y234">
        <v>140.80000000000001</v>
      </c>
      <c r="Z234">
        <v>120.6</v>
      </c>
      <c r="AA234">
        <v>135</v>
      </c>
      <c r="AB234">
        <v>150.4</v>
      </c>
      <c r="AC234">
        <v>135.1</v>
      </c>
      <c r="AD234">
        <v>134.5</v>
      </c>
      <c r="AE234">
        <v>143.30000000000001</v>
      </c>
      <c r="AF234">
        <f t="shared" si="6"/>
        <v>142.47499999999999</v>
      </c>
      <c r="AG234">
        <v>167.2</v>
      </c>
      <c r="AH234">
        <f>AVERAGE(Table1[[#This Row],[Clothing]:[Footwear]])</f>
        <v>138.30000000000001</v>
      </c>
      <c r="AI234">
        <v>127</v>
      </c>
      <c r="AJ234">
        <v>137.69999999999999</v>
      </c>
      <c r="AK234">
        <v>120.6</v>
      </c>
      <c r="AL234">
        <v>135</v>
      </c>
      <c r="AM234" t="str">
        <f t="shared" si="7"/>
        <v>Pre-COVID</v>
      </c>
    </row>
    <row r="235" spans="1:39" x14ac:dyDescent="0.35">
      <c r="A235" t="s">
        <v>34</v>
      </c>
      <c r="B235">
        <v>2019</v>
      </c>
      <c r="C235" t="s">
        <v>40</v>
      </c>
      <c r="D235" s="4">
        <f>DATE(B235,MATCH(C235,{"January","February","March","April","May","June","July","August","September","October","November","December"},0),1)</f>
        <v>43647</v>
      </c>
      <c r="E235">
        <v>139.30000000000001</v>
      </c>
      <c r="F235">
        <v>162.69999999999999</v>
      </c>
      <c r="G235">
        <v>140</v>
      </c>
      <c r="H235">
        <v>144</v>
      </c>
      <c r="I235">
        <v>122.5</v>
      </c>
      <c r="J235">
        <v>150.30000000000001</v>
      </c>
      <c r="K235">
        <v>160.30000000000001</v>
      </c>
      <c r="L235">
        <v>130</v>
      </c>
      <c r="M235">
        <v>111.1</v>
      </c>
      <c r="N235">
        <v>141.69999999999999</v>
      </c>
      <c r="O235">
        <v>134.69999999999999</v>
      </c>
      <c r="P235">
        <v>156.19999999999999</v>
      </c>
      <c r="Q235">
        <v>144.69999999999999</v>
      </c>
      <c r="R235">
        <v>165.2</v>
      </c>
      <c r="S235">
        <v>148.9</v>
      </c>
      <c r="T235">
        <v>140.5</v>
      </c>
      <c r="U235">
        <v>147.6</v>
      </c>
      <c r="V235">
        <v>150.6</v>
      </c>
      <c r="W235">
        <v>139.30000000000001</v>
      </c>
      <c r="X235">
        <v>144.19999999999999</v>
      </c>
      <c r="Y235">
        <v>147.9</v>
      </c>
      <c r="Z235">
        <v>125.6</v>
      </c>
      <c r="AA235">
        <v>140.5</v>
      </c>
      <c r="AB235">
        <v>154</v>
      </c>
      <c r="AC235">
        <v>135.69999999999999</v>
      </c>
      <c r="AD235">
        <v>139.5</v>
      </c>
      <c r="AE235">
        <v>144.19999999999999</v>
      </c>
      <c r="AF235">
        <f t="shared" si="6"/>
        <v>141.06666666666666</v>
      </c>
      <c r="AG235">
        <v>165.2</v>
      </c>
      <c r="AH235">
        <f>AVERAGE(Table1[[#This Row],[Clothing]:[Footwear]])</f>
        <v>144.69999999999999</v>
      </c>
      <c r="AI235">
        <v>139.30000000000001</v>
      </c>
      <c r="AJ235">
        <v>144.19999999999999</v>
      </c>
      <c r="AK235">
        <v>125.6</v>
      </c>
      <c r="AL235">
        <v>140.5</v>
      </c>
      <c r="AM235" t="str">
        <f t="shared" si="7"/>
        <v>Pre-COVID</v>
      </c>
    </row>
    <row r="236" spans="1:39" x14ac:dyDescent="0.35">
      <c r="A236" t="s">
        <v>30</v>
      </c>
      <c r="B236">
        <v>2019</v>
      </c>
      <c r="C236" t="s">
        <v>41</v>
      </c>
      <c r="D236" s="4">
        <f>DATE(B236,MATCH(C236,{"January","February","March","April","May","June","July","August","September","October","November","December"},0),1)</f>
        <v>43678</v>
      </c>
      <c r="E236">
        <v>139.19999999999999</v>
      </c>
      <c r="F236">
        <v>161.9</v>
      </c>
      <c r="G236">
        <v>137.1</v>
      </c>
      <c r="H236">
        <v>144.6</v>
      </c>
      <c r="I236">
        <v>124.7</v>
      </c>
      <c r="J236">
        <v>145.5</v>
      </c>
      <c r="K236">
        <v>156.19999999999999</v>
      </c>
      <c r="L236">
        <v>131.5</v>
      </c>
      <c r="M236">
        <v>111.7</v>
      </c>
      <c r="N236">
        <v>142.69999999999999</v>
      </c>
      <c r="O236">
        <v>138.5</v>
      </c>
      <c r="P236">
        <v>156.9</v>
      </c>
      <c r="Q236">
        <v>144</v>
      </c>
      <c r="R236">
        <v>165.1</v>
      </c>
      <c r="S236">
        <v>151.80000000000001</v>
      </c>
      <c r="T236">
        <v>146.6</v>
      </c>
      <c r="U236">
        <v>151.1</v>
      </c>
      <c r="V236">
        <v>151.6</v>
      </c>
      <c r="W236">
        <v>146.4</v>
      </c>
      <c r="X236">
        <v>150.19999999999999</v>
      </c>
      <c r="Y236">
        <v>152.69999999999999</v>
      </c>
      <c r="Z236">
        <v>131.4</v>
      </c>
      <c r="AA236">
        <v>148</v>
      </c>
      <c r="AB236">
        <v>159.69999999999999</v>
      </c>
      <c r="AC236">
        <v>138.80000000000001</v>
      </c>
      <c r="AD236">
        <v>144.9</v>
      </c>
      <c r="AE236">
        <v>145.69999999999999</v>
      </c>
      <c r="AF236">
        <f t="shared" si="6"/>
        <v>140.87500000000003</v>
      </c>
      <c r="AG236">
        <v>165.1</v>
      </c>
      <c r="AH236">
        <f>AVERAGE(Table1[[#This Row],[Clothing]:[Footwear]])</f>
        <v>149.19999999999999</v>
      </c>
      <c r="AI236">
        <v>146.4</v>
      </c>
      <c r="AJ236">
        <v>150.19999999999999</v>
      </c>
      <c r="AK236">
        <v>131.4</v>
      </c>
      <c r="AL236">
        <v>148</v>
      </c>
      <c r="AM236" t="str">
        <f t="shared" si="7"/>
        <v>Pre-COVID</v>
      </c>
    </row>
    <row r="237" spans="1:39" x14ac:dyDescent="0.35">
      <c r="A237" t="s">
        <v>33</v>
      </c>
      <c r="B237">
        <v>2019</v>
      </c>
      <c r="C237" t="s">
        <v>41</v>
      </c>
      <c r="D237" s="4">
        <f>DATE(B237,MATCH(C237,{"January","February","March","April","May","June","July","August","September","October","November","December"},0),1)</f>
        <v>43678</v>
      </c>
      <c r="E237">
        <v>142.1</v>
      </c>
      <c r="F237">
        <v>158.30000000000001</v>
      </c>
      <c r="G237">
        <v>140.80000000000001</v>
      </c>
      <c r="H237">
        <v>144.9</v>
      </c>
      <c r="I237">
        <v>119.9</v>
      </c>
      <c r="J237">
        <v>153.9</v>
      </c>
      <c r="K237">
        <v>189.1</v>
      </c>
      <c r="L237">
        <v>129.80000000000001</v>
      </c>
      <c r="M237">
        <v>112.7</v>
      </c>
      <c r="N237">
        <v>142.5</v>
      </c>
      <c r="O237">
        <v>129.80000000000001</v>
      </c>
      <c r="P237">
        <v>156.19999999999999</v>
      </c>
      <c r="Q237">
        <v>149.1</v>
      </c>
      <c r="R237">
        <v>167.9</v>
      </c>
      <c r="S237">
        <v>145</v>
      </c>
      <c r="T237">
        <v>132.19999999999999</v>
      </c>
      <c r="U237">
        <v>143</v>
      </c>
      <c r="V237">
        <v>151.6</v>
      </c>
      <c r="W237">
        <v>125.5</v>
      </c>
      <c r="X237">
        <v>138.1</v>
      </c>
      <c r="Y237">
        <v>141.5</v>
      </c>
      <c r="Z237">
        <v>120.8</v>
      </c>
      <c r="AA237">
        <v>135.4</v>
      </c>
      <c r="AB237">
        <v>151.5</v>
      </c>
      <c r="AC237">
        <v>137.80000000000001</v>
      </c>
      <c r="AD237">
        <v>135.30000000000001</v>
      </c>
      <c r="AE237">
        <v>144.19999999999999</v>
      </c>
      <c r="AF237">
        <f t="shared" si="6"/>
        <v>143.33333333333334</v>
      </c>
      <c r="AG237">
        <v>167.9</v>
      </c>
      <c r="AH237">
        <f>AVERAGE(Table1[[#This Row],[Clothing]:[Footwear]])</f>
        <v>138.6</v>
      </c>
      <c r="AI237">
        <v>125.5</v>
      </c>
      <c r="AJ237">
        <v>138.1</v>
      </c>
      <c r="AK237">
        <v>120.8</v>
      </c>
      <c r="AL237">
        <v>135.4</v>
      </c>
      <c r="AM237" t="str">
        <f t="shared" si="7"/>
        <v>Pre-COVID</v>
      </c>
    </row>
    <row r="238" spans="1:39" x14ac:dyDescent="0.35">
      <c r="A238" t="s">
        <v>34</v>
      </c>
      <c r="B238">
        <v>2019</v>
      </c>
      <c r="C238" t="s">
        <v>41</v>
      </c>
      <c r="D238" s="4">
        <f>DATE(B238,MATCH(C238,{"January","February","March","April","May","June","July","August","September","October","November","December"},0),1)</f>
        <v>43678</v>
      </c>
      <c r="E238">
        <v>140.1</v>
      </c>
      <c r="F238">
        <v>160.6</v>
      </c>
      <c r="G238">
        <v>138.5</v>
      </c>
      <c r="H238">
        <v>144.69999999999999</v>
      </c>
      <c r="I238">
        <v>122.9</v>
      </c>
      <c r="J238">
        <v>149.4</v>
      </c>
      <c r="K238">
        <v>167.4</v>
      </c>
      <c r="L238">
        <v>130.9</v>
      </c>
      <c r="M238">
        <v>112</v>
      </c>
      <c r="N238">
        <v>142.6</v>
      </c>
      <c r="O238">
        <v>134.9</v>
      </c>
      <c r="P238">
        <v>156.6</v>
      </c>
      <c r="Q238">
        <v>145.9</v>
      </c>
      <c r="R238">
        <v>165.8</v>
      </c>
      <c r="S238">
        <v>149.1</v>
      </c>
      <c r="T238">
        <v>140.6</v>
      </c>
      <c r="U238">
        <v>147.9</v>
      </c>
      <c r="V238">
        <v>151.6</v>
      </c>
      <c r="W238">
        <v>138.5</v>
      </c>
      <c r="X238">
        <v>144.5</v>
      </c>
      <c r="Y238">
        <v>148.5</v>
      </c>
      <c r="Z238">
        <v>125.8</v>
      </c>
      <c r="AA238">
        <v>140.9</v>
      </c>
      <c r="AB238">
        <v>154.9</v>
      </c>
      <c r="AC238">
        <v>138.4</v>
      </c>
      <c r="AD238">
        <v>140.19999999999999</v>
      </c>
      <c r="AE238">
        <v>145</v>
      </c>
      <c r="AF238">
        <f t="shared" si="6"/>
        <v>141.71666666666667</v>
      </c>
      <c r="AG238">
        <v>165.8</v>
      </c>
      <c r="AH238">
        <f>AVERAGE(Table1[[#This Row],[Clothing]:[Footwear]])</f>
        <v>144.85</v>
      </c>
      <c r="AI238">
        <v>138.5</v>
      </c>
      <c r="AJ238">
        <v>144.5</v>
      </c>
      <c r="AK238">
        <v>125.8</v>
      </c>
      <c r="AL238">
        <v>140.9</v>
      </c>
      <c r="AM238" t="str">
        <f t="shared" si="7"/>
        <v>Pre-COVID</v>
      </c>
    </row>
    <row r="239" spans="1:39" x14ac:dyDescent="0.35">
      <c r="A239" t="s">
        <v>30</v>
      </c>
      <c r="B239">
        <v>2019</v>
      </c>
      <c r="C239" t="s">
        <v>42</v>
      </c>
      <c r="D239" s="4">
        <f>DATE(B239,MATCH(C239,{"January","February","March","April","May","June","July","August","September","October","November","December"},0),1)</f>
        <v>43709</v>
      </c>
      <c r="E239">
        <v>140.1</v>
      </c>
      <c r="F239">
        <v>161.9</v>
      </c>
      <c r="G239">
        <v>138.30000000000001</v>
      </c>
      <c r="H239">
        <v>145.69999999999999</v>
      </c>
      <c r="I239">
        <v>125.1</v>
      </c>
      <c r="J239">
        <v>143.80000000000001</v>
      </c>
      <c r="K239">
        <v>163.4</v>
      </c>
      <c r="L239">
        <v>132.19999999999999</v>
      </c>
      <c r="M239">
        <v>112.8</v>
      </c>
      <c r="N239">
        <v>144.19999999999999</v>
      </c>
      <c r="O239">
        <v>138.5</v>
      </c>
      <c r="P239">
        <v>157.19999999999999</v>
      </c>
      <c r="Q239">
        <v>145.5</v>
      </c>
      <c r="R239">
        <v>165.7</v>
      </c>
      <c r="S239">
        <v>151.69999999999999</v>
      </c>
      <c r="T239">
        <v>146.6</v>
      </c>
      <c r="U239">
        <v>151</v>
      </c>
      <c r="V239">
        <v>152.19999999999999</v>
      </c>
      <c r="W239">
        <v>146.9</v>
      </c>
      <c r="X239">
        <v>150.30000000000001</v>
      </c>
      <c r="Y239">
        <v>153.4</v>
      </c>
      <c r="Z239">
        <v>131.6</v>
      </c>
      <c r="AA239">
        <v>148.30000000000001</v>
      </c>
      <c r="AB239">
        <v>160.19999999999999</v>
      </c>
      <c r="AC239">
        <v>140.19999999999999</v>
      </c>
      <c r="AD239">
        <v>145.4</v>
      </c>
      <c r="AE239">
        <v>146.69999999999999</v>
      </c>
      <c r="AF239">
        <f t="shared" si="6"/>
        <v>141.93333333333334</v>
      </c>
      <c r="AG239">
        <v>165.7</v>
      </c>
      <c r="AH239">
        <f>AVERAGE(Table1[[#This Row],[Clothing]:[Footwear]])</f>
        <v>149.14999999999998</v>
      </c>
      <c r="AI239">
        <v>146.9</v>
      </c>
      <c r="AJ239">
        <v>150.30000000000001</v>
      </c>
      <c r="AK239">
        <v>131.6</v>
      </c>
      <c r="AL239">
        <v>148.30000000000001</v>
      </c>
      <c r="AM239" t="str">
        <f t="shared" si="7"/>
        <v>Pre-COVID</v>
      </c>
    </row>
    <row r="240" spans="1:39" x14ac:dyDescent="0.35">
      <c r="A240" t="s">
        <v>33</v>
      </c>
      <c r="B240">
        <v>2019</v>
      </c>
      <c r="C240" t="s">
        <v>42</v>
      </c>
      <c r="D240" s="4">
        <f>DATE(B240,MATCH(C240,{"January","February","March","April","May","June","July","August","September","October","November","December"},0),1)</f>
        <v>43709</v>
      </c>
      <c r="E240">
        <v>142.69999999999999</v>
      </c>
      <c r="F240">
        <v>158.69999999999999</v>
      </c>
      <c r="G240">
        <v>141.6</v>
      </c>
      <c r="H240">
        <v>144.9</v>
      </c>
      <c r="I240">
        <v>120.8</v>
      </c>
      <c r="J240">
        <v>149.80000000000001</v>
      </c>
      <c r="K240">
        <v>192.4</v>
      </c>
      <c r="L240">
        <v>130.30000000000001</v>
      </c>
      <c r="M240">
        <v>114</v>
      </c>
      <c r="N240">
        <v>143.80000000000001</v>
      </c>
      <c r="O240">
        <v>130</v>
      </c>
      <c r="P240">
        <v>156.4</v>
      </c>
      <c r="Q240">
        <v>149.5</v>
      </c>
      <c r="R240">
        <v>168.6</v>
      </c>
      <c r="S240">
        <v>145.30000000000001</v>
      </c>
      <c r="T240">
        <v>132.19999999999999</v>
      </c>
      <c r="U240">
        <v>143.30000000000001</v>
      </c>
      <c r="V240">
        <v>152.19999999999999</v>
      </c>
      <c r="W240">
        <v>126.6</v>
      </c>
      <c r="X240">
        <v>138.30000000000001</v>
      </c>
      <c r="Y240">
        <v>141.9</v>
      </c>
      <c r="Z240">
        <v>121.2</v>
      </c>
      <c r="AA240">
        <v>135.9</v>
      </c>
      <c r="AB240">
        <v>151.6</v>
      </c>
      <c r="AC240">
        <v>139</v>
      </c>
      <c r="AD240">
        <v>135.69999999999999</v>
      </c>
      <c r="AE240">
        <v>144.69999999999999</v>
      </c>
      <c r="AF240">
        <f t="shared" si="6"/>
        <v>143.78333333333333</v>
      </c>
      <c r="AG240">
        <v>168.6</v>
      </c>
      <c r="AH240">
        <f>AVERAGE(Table1[[#This Row],[Clothing]:[Footwear]])</f>
        <v>138.75</v>
      </c>
      <c r="AI240">
        <v>126.6</v>
      </c>
      <c r="AJ240">
        <v>138.30000000000001</v>
      </c>
      <c r="AK240">
        <v>121.2</v>
      </c>
      <c r="AL240">
        <v>135.9</v>
      </c>
      <c r="AM240" t="str">
        <f t="shared" si="7"/>
        <v>Pre-COVID</v>
      </c>
    </row>
    <row r="241" spans="1:39" x14ac:dyDescent="0.35">
      <c r="A241" t="s">
        <v>34</v>
      </c>
      <c r="B241">
        <v>2019</v>
      </c>
      <c r="C241" t="s">
        <v>42</v>
      </c>
      <c r="D241" s="4">
        <f>DATE(B241,MATCH(C241,{"January","February","March","April","May","June","July","August","September","October","November","December"},0),1)</f>
        <v>43709</v>
      </c>
      <c r="E241">
        <v>140.9</v>
      </c>
      <c r="F241">
        <v>160.80000000000001</v>
      </c>
      <c r="G241">
        <v>139.6</v>
      </c>
      <c r="H241">
        <v>145.4</v>
      </c>
      <c r="I241">
        <v>123.5</v>
      </c>
      <c r="J241">
        <v>146.6</v>
      </c>
      <c r="K241">
        <v>173.2</v>
      </c>
      <c r="L241">
        <v>131.6</v>
      </c>
      <c r="M241">
        <v>113.2</v>
      </c>
      <c r="N241">
        <v>144.1</v>
      </c>
      <c r="O241">
        <v>135</v>
      </c>
      <c r="P241">
        <v>156.80000000000001</v>
      </c>
      <c r="Q241">
        <v>147</v>
      </c>
      <c r="R241">
        <v>166.5</v>
      </c>
      <c r="S241">
        <v>149.19999999999999</v>
      </c>
      <c r="T241">
        <v>140.6</v>
      </c>
      <c r="U241">
        <v>147.9</v>
      </c>
      <c r="V241">
        <v>152.19999999999999</v>
      </c>
      <c r="W241">
        <v>139.19999999999999</v>
      </c>
      <c r="X241">
        <v>144.6</v>
      </c>
      <c r="Y241">
        <v>149</v>
      </c>
      <c r="Z241">
        <v>126.1</v>
      </c>
      <c r="AA241">
        <v>141.30000000000001</v>
      </c>
      <c r="AB241">
        <v>155.19999999999999</v>
      </c>
      <c r="AC241">
        <v>139.69999999999999</v>
      </c>
      <c r="AD241">
        <v>140.69999999999999</v>
      </c>
      <c r="AE241">
        <v>145.80000000000001</v>
      </c>
      <c r="AF241">
        <f t="shared" si="6"/>
        <v>142.55833333333331</v>
      </c>
      <c r="AG241">
        <v>166.5</v>
      </c>
      <c r="AH241">
        <f>AVERAGE(Table1[[#This Row],[Clothing]:[Footwear]])</f>
        <v>144.89999999999998</v>
      </c>
      <c r="AI241">
        <v>139.19999999999999</v>
      </c>
      <c r="AJ241">
        <v>144.6</v>
      </c>
      <c r="AK241">
        <v>126.1</v>
      </c>
      <c r="AL241">
        <v>141.30000000000001</v>
      </c>
      <c r="AM241" t="str">
        <f t="shared" si="7"/>
        <v>Pre-COVID</v>
      </c>
    </row>
    <row r="242" spans="1:39" x14ac:dyDescent="0.35">
      <c r="A242" t="s">
        <v>30</v>
      </c>
      <c r="B242">
        <v>2019</v>
      </c>
      <c r="C242" t="s">
        <v>43</v>
      </c>
      <c r="D242" s="4">
        <f>DATE(B242,MATCH(C242,{"January","February","March","April","May","June","July","August","September","October","November","December"},0),1)</f>
        <v>43739</v>
      </c>
      <c r="E242">
        <v>141</v>
      </c>
      <c r="F242">
        <v>161.6</v>
      </c>
      <c r="G242">
        <v>141.19999999999999</v>
      </c>
      <c r="H242">
        <v>146.5</v>
      </c>
      <c r="I242">
        <v>125.6</v>
      </c>
      <c r="J242">
        <v>145.69999999999999</v>
      </c>
      <c r="K242">
        <v>178.8</v>
      </c>
      <c r="L242">
        <v>133.1</v>
      </c>
      <c r="M242">
        <v>113.6</v>
      </c>
      <c r="N242">
        <v>145.5</v>
      </c>
      <c r="O242">
        <v>138.6</v>
      </c>
      <c r="P242">
        <v>157.4</v>
      </c>
      <c r="Q242">
        <v>148.30000000000001</v>
      </c>
      <c r="R242">
        <v>166.3</v>
      </c>
      <c r="S242">
        <v>151.69999999999999</v>
      </c>
      <c r="T242">
        <v>146.69999999999999</v>
      </c>
      <c r="U242">
        <v>151</v>
      </c>
      <c r="V242">
        <v>153</v>
      </c>
      <c r="W242">
        <v>147.69999999999999</v>
      </c>
      <c r="X242">
        <v>150.6</v>
      </c>
      <c r="Y242">
        <v>153.69999999999999</v>
      </c>
      <c r="Z242">
        <v>131.69999999999999</v>
      </c>
      <c r="AA242">
        <v>148.69999999999999</v>
      </c>
      <c r="AB242">
        <v>160.69999999999999</v>
      </c>
      <c r="AC242">
        <v>140.30000000000001</v>
      </c>
      <c r="AD242">
        <v>145.69999999999999</v>
      </c>
      <c r="AE242">
        <v>148.30000000000001</v>
      </c>
      <c r="AF242">
        <f t="shared" si="6"/>
        <v>144.04999999999998</v>
      </c>
      <c r="AG242">
        <v>166.3</v>
      </c>
      <c r="AH242">
        <f>AVERAGE(Table1[[#This Row],[Clothing]:[Footwear]])</f>
        <v>149.19999999999999</v>
      </c>
      <c r="AI242">
        <v>147.69999999999999</v>
      </c>
      <c r="AJ242">
        <v>150.6</v>
      </c>
      <c r="AK242">
        <v>131.69999999999999</v>
      </c>
      <c r="AL242">
        <v>148.69999999999999</v>
      </c>
      <c r="AM242" t="str">
        <f t="shared" si="7"/>
        <v>Pre-COVID</v>
      </c>
    </row>
    <row r="243" spans="1:39" x14ac:dyDescent="0.35">
      <c r="A243" t="s">
        <v>33</v>
      </c>
      <c r="B243">
        <v>2019</v>
      </c>
      <c r="C243" t="s">
        <v>43</v>
      </c>
      <c r="D243" s="4">
        <f>DATE(B243,MATCH(C243,{"January","February","March","April","May","June","July","August","September","October","November","December"},0),1)</f>
        <v>43739</v>
      </c>
      <c r="E243">
        <v>143.5</v>
      </c>
      <c r="F243">
        <v>159.80000000000001</v>
      </c>
      <c r="G243">
        <v>144.69999999999999</v>
      </c>
      <c r="H243">
        <v>145.6</v>
      </c>
      <c r="I243">
        <v>121.1</v>
      </c>
      <c r="J243">
        <v>150.6</v>
      </c>
      <c r="K243">
        <v>207.2</v>
      </c>
      <c r="L243">
        <v>131.19999999999999</v>
      </c>
      <c r="M243">
        <v>114.8</v>
      </c>
      <c r="N243">
        <v>145.19999999999999</v>
      </c>
      <c r="O243">
        <v>130.19999999999999</v>
      </c>
      <c r="P243">
        <v>156.80000000000001</v>
      </c>
      <c r="Q243">
        <v>151.9</v>
      </c>
      <c r="R243">
        <v>169.3</v>
      </c>
      <c r="S243">
        <v>145.9</v>
      </c>
      <c r="T243">
        <v>132.4</v>
      </c>
      <c r="U243">
        <v>143.9</v>
      </c>
      <c r="V243">
        <v>153</v>
      </c>
      <c r="W243">
        <v>128.9</v>
      </c>
      <c r="X243">
        <v>138.69999999999999</v>
      </c>
      <c r="Y243">
        <v>142.4</v>
      </c>
      <c r="Z243">
        <v>121.5</v>
      </c>
      <c r="AA243">
        <v>136.19999999999999</v>
      </c>
      <c r="AB243">
        <v>151.69999999999999</v>
      </c>
      <c r="AC243">
        <v>139.5</v>
      </c>
      <c r="AD243">
        <v>136</v>
      </c>
      <c r="AE243">
        <v>146</v>
      </c>
      <c r="AF243">
        <f t="shared" si="6"/>
        <v>145.89166666666668</v>
      </c>
      <c r="AG243">
        <v>169.3</v>
      </c>
      <c r="AH243">
        <f>AVERAGE(Table1[[#This Row],[Clothing]:[Footwear]])</f>
        <v>139.15</v>
      </c>
      <c r="AI243">
        <v>128.9</v>
      </c>
      <c r="AJ243">
        <v>138.69999999999999</v>
      </c>
      <c r="AK243">
        <v>121.5</v>
      </c>
      <c r="AL243">
        <v>136.19999999999999</v>
      </c>
      <c r="AM243" t="str">
        <f t="shared" si="7"/>
        <v>Pre-COVID</v>
      </c>
    </row>
    <row r="244" spans="1:39" x14ac:dyDescent="0.35">
      <c r="A244" t="s">
        <v>34</v>
      </c>
      <c r="B244">
        <v>2019</v>
      </c>
      <c r="C244" t="s">
        <v>43</v>
      </c>
      <c r="D244" s="4">
        <f>DATE(B244,MATCH(C244,{"January","February","March","April","May","June","July","August","September","October","November","December"},0),1)</f>
        <v>43739</v>
      </c>
      <c r="E244">
        <v>141.80000000000001</v>
      </c>
      <c r="F244">
        <v>161</v>
      </c>
      <c r="G244">
        <v>142.6</v>
      </c>
      <c r="H244">
        <v>146.19999999999999</v>
      </c>
      <c r="I244">
        <v>123.9</v>
      </c>
      <c r="J244">
        <v>148</v>
      </c>
      <c r="K244">
        <v>188.4</v>
      </c>
      <c r="L244">
        <v>132.5</v>
      </c>
      <c r="M244">
        <v>114</v>
      </c>
      <c r="N244">
        <v>145.4</v>
      </c>
      <c r="O244">
        <v>135.1</v>
      </c>
      <c r="P244">
        <v>157.1</v>
      </c>
      <c r="Q244">
        <v>149.6</v>
      </c>
      <c r="R244">
        <v>167.1</v>
      </c>
      <c r="S244">
        <v>149.4</v>
      </c>
      <c r="T244">
        <v>140.80000000000001</v>
      </c>
      <c r="U244">
        <v>148.19999999999999</v>
      </c>
      <c r="V244">
        <v>153</v>
      </c>
      <c r="W244">
        <v>140.6</v>
      </c>
      <c r="X244">
        <v>145</v>
      </c>
      <c r="Y244">
        <v>149.4</v>
      </c>
      <c r="Z244">
        <v>126.3</v>
      </c>
      <c r="AA244">
        <v>141.69999999999999</v>
      </c>
      <c r="AB244">
        <v>155.4</v>
      </c>
      <c r="AC244">
        <v>140</v>
      </c>
      <c r="AD244">
        <v>141</v>
      </c>
      <c r="AE244">
        <v>147.19999999999999</v>
      </c>
      <c r="AF244">
        <f t="shared" si="6"/>
        <v>144.66666666666666</v>
      </c>
      <c r="AG244">
        <v>167.1</v>
      </c>
      <c r="AH244">
        <f>AVERAGE(Table1[[#This Row],[Clothing]:[Footwear]])</f>
        <v>145.10000000000002</v>
      </c>
      <c r="AI244">
        <v>140.6</v>
      </c>
      <c r="AJ244">
        <v>145</v>
      </c>
      <c r="AK244">
        <v>126.3</v>
      </c>
      <c r="AL244">
        <v>141.69999999999999</v>
      </c>
      <c r="AM244" t="str">
        <f t="shared" si="7"/>
        <v>Pre-COVID</v>
      </c>
    </row>
    <row r="245" spans="1:39" x14ac:dyDescent="0.35">
      <c r="A245" t="s">
        <v>30</v>
      </c>
      <c r="B245">
        <v>2019</v>
      </c>
      <c r="C245" t="s">
        <v>45</v>
      </c>
      <c r="D245" s="4">
        <f>DATE(B245,MATCH(C245,{"January","February","March","April","May","June","July","August","September","October","November","December"},0),1)</f>
        <v>43770</v>
      </c>
      <c r="E245">
        <v>141.80000000000001</v>
      </c>
      <c r="F245">
        <v>163.69999999999999</v>
      </c>
      <c r="G245">
        <v>143.80000000000001</v>
      </c>
      <c r="H245">
        <v>147.1</v>
      </c>
      <c r="I245">
        <v>126</v>
      </c>
      <c r="J245">
        <v>146.19999999999999</v>
      </c>
      <c r="K245">
        <v>191.4</v>
      </c>
      <c r="L245">
        <v>136.19999999999999</v>
      </c>
      <c r="M245">
        <v>113.8</v>
      </c>
      <c r="N245">
        <v>147.30000000000001</v>
      </c>
      <c r="O245">
        <v>138.69999999999999</v>
      </c>
      <c r="P245">
        <v>157.69999999999999</v>
      </c>
      <c r="Q245">
        <v>150.9</v>
      </c>
      <c r="R245">
        <v>167.2</v>
      </c>
      <c r="S245">
        <v>152.30000000000001</v>
      </c>
      <c r="T245">
        <v>147</v>
      </c>
      <c r="U245">
        <v>151.5</v>
      </c>
      <c r="V245">
        <v>153.5</v>
      </c>
      <c r="W245">
        <v>148.4</v>
      </c>
      <c r="X245">
        <v>150.9</v>
      </c>
      <c r="Y245">
        <v>154.30000000000001</v>
      </c>
      <c r="Z245">
        <v>132.1</v>
      </c>
      <c r="AA245">
        <v>149.1</v>
      </c>
      <c r="AB245">
        <v>160.80000000000001</v>
      </c>
      <c r="AC245">
        <v>140.6</v>
      </c>
      <c r="AD245">
        <v>146.1</v>
      </c>
      <c r="AE245">
        <v>149.9</v>
      </c>
      <c r="AF245">
        <f t="shared" si="6"/>
        <v>146.14166666666668</v>
      </c>
      <c r="AG245">
        <v>167.2</v>
      </c>
      <c r="AH245">
        <f>AVERAGE(Table1[[#This Row],[Clothing]:[Footwear]])</f>
        <v>149.65</v>
      </c>
      <c r="AI245">
        <v>148.4</v>
      </c>
      <c r="AJ245">
        <v>150.9</v>
      </c>
      <c r="AK245">
        <v>132.1</v>
      </c>
      <c r="AL245">
        <v>149.1</v>
      </c>
      <c r="AM245" t="str">
        <f t="shared" si="7"/>
        <v>Pre-COVID</v>
      </c>
    </row>
    <row r="246" spans="1:39" x14ac:dyDescent="0.35">
      <c r="A246" t="s">
        <v>33</v>
      </c>
      <c r="B246">
        <v>2019</v>
      </c>
      <c r="C246" t="s">
        <v>45</v>
      </c>
      <c r="D246" s="4">
        <f>DATE(B246,MATCH(C246,{"January","February","March","April","May","June","July","August","September","October","November","December"},0),1)</f>
        <v>43770</v>
      </c>
      <c r="E246">
        <v>144.1</v>
      </c>
      <c r="F246">
        <v>162.4</v>
      </c>
      <c r="G246">
        <v>148.4</v>
      </c>
      <c r="H246">
        <v>145.9</v>
      </c>
      <c r="I246">
        <v>121.5</v>
      </c>
      <c r="J246">
        <v>148.80000000000001</v>
      </c>
      <c r="K246">
        <v>215.7</v>
      </c>
      <c r="L246">
        <v>134.6</v>
      </c>
      <c r="M246">
        <v>115</v>
      </c>
      <c r="N246">
        <v>146.30000000000001</v>
      </c>
      <c r="O246">
        <v>130.5</v>
      </c>
      <c r="P246">
        <v>157.19999999999999</v>
      </c>
      <c r="Q246">
        <v>153.6</v>
      </c>
      <c r="R246">
        <v>169.9</v>
      </c>
      <c r="S246">
        <v>146.30000000000001</v>
      </c>
      <c r="T246">
        <v>132.6</v>
      </c>
      <c r="U246">
        <v>144.19999999999999</v>
      </c>
      <c r="V246">
        <v>153.5</v>
      </c>
      <c r="W246">
        <v>132.19999999999999</v>
      </c>
      <c r="X246">
        <v>139.1</v>
      </c>
      <c r="Y246">
        <v>142.80000000000001</v>
      </c>
      <c r="Z246">
        <v>121.7</v>
      </c>
      <c r="AA246">
        <v>136.69999999999999</v>
      </c>
      <c r="AB246">
        <v>151.80000000000001</v>
      </c>
      <c r="AC246">
        <v>139.80000000000001</v>
      </c>
      <c r="AD246">
        <v>136.30000000000001</v>
      </c>
      <c r="AE246">
        <v>147</v>
      </c>
      <c r="AF246">
        <f t="shared" si="6"/>
        <v>147.53333333333333</v>
      </c>
      <c r="AG246">
        <v>169.9</v>
      </c>
      <c r="AH246">
        <f>AVERAGE(Table1[[#This Row],[Clothing]:[Footwear]])</f>
        <v>139.44999999999999</v>
      </c>
      <c r="AI246">
        <v>132.19999999999999</v>
      </c>
      <c r="AJ246">
        <v>139.1</v>
      </c>
      <c r="AK246">
        <v>121.7</v>
      </c>
      <c r="AL246">
        <v>136.69999999999999</v>
      </c>
      <c r="AM246" t="str">
        <f t="shared" si="7"/>
        <v>Pre-COVID</v>
      </c>
    </row>
    <row r="247" spans="1:39" x14ac:dyDescent="0.35">
      <c r="A247" t="s">
        <v>34</v>
      </c>
      <c r="B247">
        <v>2019</v>
      </c>
      <c r="C247" t="s">
        <v>45</v>
      </c>
      <c r="D247" s="4">
        <f>DATE(B247,MATCH(C247,{"January","February","March","April","May","June","July","August","September","October","November","December"},0),1)</f>
        <v>43770</v>
      </c>
      <c r="E247">
        <v>142.5</v>
      </c>
      <c r="F247">
        <v>163.19999999999999</v>
      </c>
      <c r="G247">
        <v>145.6</v>
      </c>
      <c r="H247">
        <v>146.69999999999999</v>
      </c>
      <c r="I247">
        <v>124.3</v>
      </c>
      <c r="J247">
        <v>147.4</v>
      </c>
      <c r="K247">
        <v>199.6</v>
      </c>
      <c r="L247">
        <v>135.69999999999999</v>
      </c>
      <c r="M247">
        <v>114.2</v>
      </c>
      <c r="N247">
        <v>147</v>
      </c>
      <c r="O247">
        <v>135.30000000000001</v>
      </c>
      <c r="P247">
        <v>157.5</v>
      </c>
      <c r="Q247">
        <v>151.9</v>
      </c>
      <c r="R247">
        <v>167.9</v>
      </c>
      <c r="S247">
        <v>149.9</v>
      </c>
      <c r="T247">
        <v>141</v>
      </c>
      <c r="U247">
        <v>148.6</v>
      </c>
      <c r="V247">
        <v>153.5</v>
      </c>
      <c r="W247">
        <v>142.30000000000001</v>
      </c>
      <c r="X247">
        <v>145.30000000000001</v>
      </c>
      <c r="Y247">
        <v>149.9</v>
      </c>
      <c r="Z247">
        <v>126.6</v>
      </c>
      <c r="AA247">
        <v>142.1</v>
      </c>
      <c r="AB247">
        <v>155.5</v>
      </c>
      <c r="AC247">
        <v>140.30000000000001</v>
      </c>
      <c r="AD247">
        <v>141.30000000000001</v>
      </c>
      <c r="AE247">
        <v>148.6</v>
      </c>
      <c r="AF247">
        <f t="shared" si="6"/>
        <v>146.58333333333334</v>
      </c>
      <c r="AG247">
        <v>167.9</v>
      </c>
      <c r="AH247">
        <f>AVERAGE(Table1[[#This Row],[Clothing]:[Footwear]])</f>
        <v>145.44999999999999</v>
      </c>
      <c r="AI247">
        <v>142.30000000000001</v>
      </c>
      <c r="AJ247">
        <v>145.30000000000001</v>
      </c>
      <c r="AK247">
        <v>126.6</v>
      </c>
      <c r="AL247">
        <v>142.1</v>
      </c>
      <c r="AM247" t="str">
        <f t="shared" si="7"/>
        <v>Pre-COVID</v>
      </c>
    </row>
    <row r="248" spans="1:39" x14ac:dyDescent="0.35">
      <c r="A248" t="s">
        <v>30</v>
      </c>
      <c r="B248">
        <v>2019</v>
      </c>
      <c r="C248" t="s">
        <v>46</v>
      </c>
      <c r="D248" s="4">
        <f>DATE(B248,MATCH(C248,{"January","February","March","April","May","June","July","August","September","October","November","December"},0),1)</f>
        <v>43800</v>
      </c>
      <c r="E248">
        <v>142.80000000000001</v>
      </c>
      <c r="F248">
        <v>165.3</v>
      </c>
      <c r="G248">
        <v>149.5</v>
      </c>
      <c r="H248">
        <v>148.69999999999999</v>
      </c>
      <c r="I248">
        <v>127.5</v>
      </c>
      <c r="J248">
        <v>144.30000000000001</v>
      </c>
      <c r="K248">
        <v>209.5</v>
      </c>
      <c r="L248">
        <v>138.80000000000001</v>
      </c>
      <c r="M248">
        <v>113.6</v>
      </c>
      <c r="N248">
        <v>149.1</v>
      </c>
      <c r="O248">
        <v>139.30000000000001</v>
      </c>
      <c r="P248">
        <v>158.30000000000001</v>
      </c>
      <c r="Q248">
        <v>154.30000000000001</v>
      </c>
      <c r="R248">
        <v>167.8</v>
      </c>
      <c r="S248">
        <v>152.6</v>
      </c>
      <c r="T248">
        <v>147.30000000000001</v>
      </c>
      <c r="U248">
        <v>151.9</v>
      </c>
      <c r="V248">
        <v>152.80000000000001</v>
      </c>
      <c r="W248">
        <v>149.9</v>
      </c>
      <c r="X248">
        <v>151.19999999999999</v>
      </c>
      <c r="Y248">
        <v>154.80000000000001</v>
      </c>
      <c r="Z248">
        <v>135</v>
      </c>
      <c r="AA248">
        <v>149.5</v>
      </c>
      <c r="AB248">
        <v>161.1</v>
      </c>
      <c r="AC248">
        <v>140.6</v>
      </c>
      <c r="AD248">
        <v>147.1</v>
      </c>
      <c r="AE248">
        <v>152.30000000000001</v>
      </c>
      <c r="AF248">
        <f t="shared" si="6"/>
        <v>148.89166666666662</v>
      </c>
      <c r="AG248">
        <v>167.8</v>
      </c>
      <c r="AH248">
        <f>AVERAGE(Table1[[#This Row],[Clothing]:[Footwear]])</f>
        <v>149.94999999999999</v>
      </c>
      <c r="AI248">
        <v>149.9</v>
      </c>
      <c r="AJ248">
        <v>151.19999999999999</v>
      </c>
      <c r="AK248">
        <v>135</v>
      </c>
      <c r="AL248">
        <v>149.5</v>
      </c>
      <c r="AM248" t="str">
        <f t="shared" si="7"/>
        <v>Pre-COVID</v>
      </c>
    </row>
    <row r="249" spans="1:39" x14ac:dyDescent="0.35">
      <c r="A249" t="s">
        <v>33</v>
      </c>
      <c r="B249">
        <v>2019</v>
      </c>
      <c r="C249" t="s">
        <v>46</v>
      </c>
      <c r="D249" s="4">
        <f>DATE(B249,MATCH(C249,{"January","February","March","April","May","June","July","August","September","October","November","December"},0),1)</f>
        <v>43800</v>
      </c>
      <c r="E249">
        <v>144.9</v>
      </c>
      <c r="F249">
        <v>164.5</v>
      </c>
      <c r="G249">
        <v>153.69999999999999</v>
      </c>
      <c r="H249">
        <v>147.5</v>
      </c>
      <c r="I249">
        <v>122.7</v>
      </c>
      <c r="J249">
        <v>147.19999999999999</v>
      </c>
      <c r="K249">
        <v>231.5</v>
      </c>
      <c r="L249">
        <v>137.19999999999999</v>
      </c>
      <c r="M249">
        <v>114.7</v>
      </c>
      <c r="N249">
        <v>148</v>
      </c>
      <c r="O249">
        <v>130.80000000000001</v>
      </c>
      <c r="P249">
        <v>157.69999999999999</v>
      </c>
      <c r="Q249">
        <v>156.30000000000001</v>
      </c>
      <c r="R249">
        <v>170.4</v>
      </c>
      <c r="S249">
        <v>146.80000000000001</v>
      </c>
      <c r="T249">
        <v>132.80000000000001</v>
      </c>
      <c r="U249">
        <v>144.6</v>
      </c>
      <c r="V249">
        <v>152.80000000000001</v>
      </c>
      <c r="W249">
        <v>133.6</v>
      </c>
      <c r="X249">
        <v>139.80000000000001</v>
      </c>
      <c r="Y249">
        <v>143.19999999999999</v>
      </c>
      <c r="Z249">
        <v>125.2</v>
      </c>
      <c r="AA249">
        <v>136.80000000000001</v>
      </c>
      <c r="AB249">
        <v>151.9</v>
      </c>
      <c r="AC249">
        <v>140.19999999999999</v>
      </c>
      <c r="AD249">
        <v>137.69999999999999</v>
      </c>
      <c r="AE249">
        <v>148.30000000000001</v>
      </c>
      <c r="AF249">
        <f t="shared" si="6"/>
        <v>150.03333333333333</v>
      </c>
      <c r="AG249">
        <v>170.4</v>
      </c>
      <c r="AH249">
        <f>AVERAGE(Table1[[#This Row],[Clothing]:[Footwear]])</f>
        <v>139.80000000000001</v>
      </c>
      <c r="AI249">
        <v>133.6</v>
      </c>
      <c r="AJ249">
        <v>139.80000000000001</v>
      </c>
      <c r="AK249">
        <v>125.2</v>
      </c>
      <c r="AL249">
        <v>136.80000000000001</v>
      </c>
      <c r="AM249" t="str">
        <f t="shared" si="7"/>
        <v>Pre-COVID</v>
      </c>
    </row>
    <row r="250" spans="1:39" x14ac:dyDescent="0.35">
      <c r="A250" t="s">
        <v>34</v>
      </c>
      <c r="B250">
        <v>2019</v>
      </c>
      <c r="C250" t="s">
        <v>46</v>
      </c>
      <c r="D250" s="4">
        <f>DATE(B250,MATCH(C250,{"January","February","March","April","May","June","July","August","September","October","November","December"},0),1)</f>
        <v>43800</v>
      </c>
      <c r="E250">
        <v>143.5</v>
      </c>
      <c r="F250">
        <v>165</v>
      </c>
      <c r="G250">
        <v>151.1</v>
      </c>
      <c r="H250">
        <v>148.30000000000001</v>
      </c>
      <c r="I250">
        <v>125.7</v>
      </c>
      <c r="J250">
        <v>145.69999999999999</v>
      </c>
      <c r="K250">
        <v>217</v>
      </c>
      <c r="L250">
        <v>138.30000000000001</v>
      </c>
      <c r="M250">
        <v>114</v>
      </c>
      <c r="N250">
        <v>148.69999999999999</v>
      </c>
      <c r="O250">
        <v>135.80000000000001</v>
      </c>
      <c r="P250">
        <v>158</v>
      </c>
      <c r="Q250">
        <v>155</v>
      </c>
      <c r="R250">
        <v>168.5</v>
      </c>
      <c r="S250">
        <v>150.30000000000001</v>
      </c>
      <c r="T250">
        <v>141.30000000000001</v>
      </c>
      <c r="U250">
        <v>149</v>
      </c>
      <c r="V250">
        <v>152.80000000000001</v>
      </c>
      <c r="W250">
        <v>143.69999999999999</v>
      </c>
      <c r="X250">
        <v>145.80000000000001</v>
      </c>
      <c r="Y250">
        <v>150.4</v>
      </c>
      <c r="Z250">
        <v>129.80000000000001</v>
      </c>
      <c r="AA250">
        <v>142.30000000000001</v>
      </c>
      <c r="AB250">
        <v>155.69999999999999</v>
      </c>
      <c r="AC250">
        <v>140.4</v>
      </c>
      <c r="AD250">
        <v>142.5</v>
      </c>
      <c r="AE250">
        <v>150.4</v>
      </c>
      <c r="AF250">
        <f t="shared" si="6"/>
        <v>149.25833333333335</v>
      </c>
      <c r="AG250">
        <v>168.5</v>
      </c>
      <c r="AH250">
        <f>AVERAGE(Table1[[#This Row],[Clothing]:[Footwear]])</f>
        <v>145.80000000000001</v>
      </c>
      <c r="AI250">
        <v>143.69999999999999</v>
      </c>
      <c r="AJ250">
        <v>145.80000000000001</v>
      </c>
      <c r="AK250">
        <v>129.80000000000001</v>
      </c>
      <c r="AL250">
        <v>142.30000000000001</v>
      </c>
      <c r="AM250" t="str">
        <f t="shared" si="7"/>
        <v>Pre-COVID</v>
      </c>
    </row>
    <row r="251" spans="1:39" x14ac:dyDescent="0.35">
      <c r="A251" t="s">
        <v>30</v>
      </c>
      <c r="B251">
        <v>2020</v>
      </c>
      <c r="C251" t="s">
        <v>31</v>
      </c>
      <c r="D251" s="4">
        <f>DATE(B251,MATCH(C251,{"January","February","March","April","May","June","July","August","September","October","November","December"},0),1)</f>
        <v>43831</v>
      </c>
      <c r="E251">
        <v>143.69999999999999</v>
      </c>
      <c r="F251">
        <v>167.3</v>
      </c>
      <c r="G251">
        <v>153.5</v>
      </c>
      <c r="H251">
        <v>150.5</v>
      </c>
      <c r="I251">
        <v>132</v>
      </c>
      <c r="J251">
        <v>142.19999999999999</v>
      </c>
      <c r="K251">
        <v>191.5</v>
      </c>
      <c r="L251">
        <v>141.1</v>
      </c>
      <c r="M251">
        <v>113.8</v>
      </c>
      <c r="N251">
        <v>151.6</v>
      </c>
      <c r="O251">
        <v>139.69999999999999</v>
      </c>
      <c r="P251">
        <v>158.69999999999999</v>
      </c>
      <c r="Q251">
        <v>153</v>
      </c>
      <c r="R251">
        <v>168.6</v>
      </c>
      <c r="S251">
        <v>152.80000000000001</v>
      </c>
      <c r="T251">
        <v>147.4</v>
      </c>
      <c r="U251">
        <v>152.1</v>
      </c>
      <c r="V251">
        <v>153.9</v>
      </c>
      <c r="W251">
        <v>150.4</v>
      </c>
      <c r="X251">
        <v>151.69999999999999</v>
      </c>
      <c r="Y251">
        <v>155.69999999999999</v>
      </c>
      <c r="Z251">
        <v>136.30000000000001</v>
      </c>
      <c r="AA251">
        <v>150.1</v>
      </c>
      <c r="AB251">
        <v>161.69999999999999</v>
      </c>
      <c r="AC251">
        <v>142.5</v>
      </c>
      <c r="AD251">
        <v>148.1</v>
      </c>
      <c r="AE251">
        <v>151.9</v>
      </c>
      <c r="AF251">
        <f t="shared" si="6"/>
        <v>148.79999999999998</v>
      </c>
      <c r="AG251">
        <v>168.6</v>
      </c>
      <c r="AH251">
        <f>AVERAGE(Table1[[#This Row],[Clothing]:[Footwear]])</f>
        <v>150.10000000000002</v>
      </c>
      <c r="AI251">
        <v>150.4</v>
      </c>
      <c r="AJ251">
        <v>151.69999999999999</v>
      </c>
      <c r="AK251">
        <v>136.30000000000001</v>
      </c>
      <c r="AL251">
        <v>150.1</v>
      </c>
      <c r="AM251" t="str">
        <f t="shared" si="7"/>
        <v>Pre-COVID</v>
      </c>
    </row>
    <row r="252" spans="1:39" x14ac:dyDescent="0.35">
      <c r="A252" t="s">
        <v>33</v>
      </c>
      <c r="B252">
        <v>2020</v>
      </c>
      <c r="C252" t="s">
        <v>31</v>
      </c>
      <c r="D252" s="4">
        <f>DATE(B252,MATCH(C252,{"January","February","March","April","May","June","July","August","September","October","November","December"},0),1)</f>
        <v>43831</v>
      </c>
      <c r="E252">
        <v>145.6</v>
      </c>
      <c r="F252">
        <v>167.6</v>
      </c>
      <c r="G252">
        <v>157</v>
      </c>
      <c r="H252">
        <v>149.30000000000001</v>
      </c>
      <c r="I252">
        <v>126.3</v>
      </c>
      <c r="J252">
        <v>144.4</v>
      </c>
      <c r="K252">
        <v>207.8</v>
      </c>
      <c r="L252">
        <v>139.1</v>
      </c>
      <c r="M252">
        <v>114.8</v>
      </c>
      <c r="N252">
        <v>149.5</v>
      </c>
      <c r="O252">
        <v>131.1</v>
      </c>
      <c r="P252">
        <v>158.5</v>
      </c>
      <c r="Q252">
        <v>154.4</v>
      </c>
      <c r="R252">
        <v>170.8</v>
      </c>
      <c r="S252">
        <v>147</v>
      </c>
      <c r="T252">
        <v>133.19999999999999</v>
      </c>
      <c r="U252">
        <v>144.9</v>
      </c>
      <c r="V252">
        <v>153.9</v>
      </c>
      <c r="W252">
        <v>135.1</v>
      </c>
      <c r="X252">
        <v>140.1</v>
      </c>
      <c r="Y252">
        <v>143.80000000000001</v>
      </c>
      <c r="Z252">
        <v>126.1</v>
      </c>
      <c r="AA252">
        <v>137.19999999999999</v>
      </c>
      <c r="AB252">
        <v>152.1</v>
      </c>
      <c r="AC252">
        <v>142.1</v>
      </c>
      <c r="AD252">
        <v>138.4</v>
      </c>
      <c r="AE252">
        <v>148.19999999999999</v>
      </c>
      <c r="AF252">
        <f t="shared" si="6"/>
        <v>149.24999999999997</v>
      </c>
      <c r="AG252">
        <v>170.8</v>
      </c>
      <c r="AH252">
        <f>AVERAGE(Table1[[#This Row],[Clothing]:[Footwear]])</f>
        <v>140.1</v>
      </c>
      <c r="AI252">
        <v>135.1</v>
      </c>
      <c r="AJ252">
        <v>140.1</v>
      </c>
      <c r="AK252">
        <v>126.1</v>
      </c>
      <c r="AL252">
        <v>137.19999999999999</v>
      </c>
      <c r="AM252" t="str">
        <f t="shared" si="7"/>
        <v>Pre-COVID</v>
      </c>
    </row>
    <row r="253" spans="1:39" x14ac:dyDescent="0.35">
      <c r="A253" t="s">
        <v>34</v>
      </c>
      <c r="B253">
        <v>2020</v>
      </c>
      <c r="C253" t="s">
        <v>31</v>
      </c>
      <c r="D253" s="4">
        <f>DATE(B253,MATCH(C253,{"January","February","March","April","May","June","July","August","September","October","November","December"},0),1)</f>
        <v>43831</v>
      </c>
      <c r="E253">
        <v>144.30000000000001</v>
      </c>
      <c r="F253">
        <v>167.4</v>
      </c>
      <c r="G253">
        <v>154.9</v>
      </c>
      <c r="H253">
        <v>150.1</v>
      </c>
      <c r="I253">
        <v>129.9</v>
      </c>
      <c r="J253">
        <v>143.19999999999999</v>
      </c>
      <c r="K253">
        <v>197</v>
      </c>
      <c r="L253">
        <v>140.4</v>
      </c>
      <c r="M253">
        <v>114.1</v>
      </c>
      <c r="N253">
        <v>150.9</v>
      </c>
      <c r="O253">
        <v>136.1</v>
      </c>
      <c r="P253">
        <v>158.6</v>
      </c>
      <c r="Q253">
        <v>153.5</v>
      </c>
      <c r="R253">
        <v>169.2</v>
      </c>
      <c r="S253">
        <v>150.5</v>
      </c>
      <c r="T253">
        <v>141.5</v>
      </c>
      <c r="U253">
        <v>149.19999999999999</v>
      </c>
      <c r="V253">
        <v>153.9</v>
      </c>
      <c r="W253">
        <v>144.6</v>
      </c>
      <c r="X253">
        <v>146.19999999999999</v>
      </c>
      <c r="Y253">
        <v>151.19999999999999</v>
      </c>
      <c r="Z253">
        <v>130.9</v>
      </c>
      <c r="AA253">
        <v>142.80000000000001</v>
      </c>
      <c r="AB253">
        <v>156.1</v>
      </c>
      <c r="AC253">
        <v>142.30000000000001</v>
      </c>
      <c r="AD253">
        <v>143.4</v>
      </c>
      <c r="AE253">
        <v>150.19999999999999</v>
      </c>
      <c r="AF253">
        <f t="shared" si="6"/>
        <v>148.90833333333333</v>
      </c>
      <c r="AG253">
        <v>169.2</v>
      </c>
      <c r="AH253">
        <f>AVERAGE(Table1[[#This Row],[Clothing]:[Footwear]])</f>
        <v>146</v>
      </c>
      <c r="AI253">
        <v>144.6</v>
      </c>
      <c r="AJ253">
        <v>146.19999999999999</v>
      </c>
      <c r="AK253">
        <v>130.9</v>
      </c>
      <c r="AL253">
        <v>142.80000000000001</v>
      </c>
      <c r="AM253" t="str">
        <f t="shared" si="7"/>
        <v>Pre-COVID</v>
      </c>
    </row>
    <row r="254" spans="1:39" x14ac:dyDescent="0.35">
      <c r="A254" t="s">
        <v>30</v>
      </c>
      <c r="B254">
        <v>2020</v>
      </c>
      <c r="C254" t="s">
        <v>35</v>
      </c>
      <c r="D254" s="4">
        <f>DATE(B254,MATCH(C254,{"January","February","March","April","May","June","July","August","September","October","November","December"},0),1)</f>
        <v>43862</v>
      </c>
      <c r="E254">
        <v>144.19999999999999</v>
      </c>
      <c r="F254">
        <v>167.5</v>
      </c>
      <c r="G254">
        <v>150.9</v>
      </c>
      <c r="H254">
        <v>150.9</v>
      </c>
      <c r="I254">
        <v>133.69999999999999</v>
      </c>
      <c r="J254">
        <v>140.69999999999999</v>
      </c>
      <c r="K254">
        <v>165.1</v>
      </c>
      <c r="L254">
        <v>141.80000000000001</v>
      </c>
      <c r="M254">
        <v>113.1</v>
      </c>
      <c r="N254">
        <v>152.80000000000001</v>
      </c>
      <c r="O254">
        <v>140.1</v>
      </c>
      <c r="P254">
        <v>159.19999999999999</v>
      </c>
      <c r="Q254">
        <v>149.80000000000001</v>
      </c>
      <c r="R254">
        <v>169.4</v>
      </c>
      <c r="S254">
        <v>153</v>
      </c>
      <c r="T254">
        <v>147.5</v>
      </c>
      <c r="U254">
        <v>152.30000000000001</v>
      </c>
      <c r="V254">
        <v>154.80000000000001</v>
      </c>
      <c r="W254">
        <v>152.30000000000001</v>
      </c>
      <c r="X254">
        <v>151.80000000000001</v>
      </c>
      <c r="Y254">
        <v>156.19999999999999</v>
      </c>
      <c r="Z254">
        <v>136</v>
      </c>
      <c r="AA254">
        <v>150.4</v>
      </c>
      <c r="AB254">
        <v>161.9</v>
      </c>
      <c r="AC254">
        <v>143.4</v>
      </c>
      <c r="AD254">
        <v>148.4</v>
      </c>
      <c r="AE254">
        <v>150.4</v>
      </c>
      <c r="AF254">
        <f t="shared" si="6"/>
        <v>146.66666666666666</v>
      </c>
      <c r="AG254">
        <v>169.4</v>
      </c>
      <c r="AH254">
        <f>AVERAGE(Table1[[#This Row],[Clothing]:[Footwear]])</f>
        <v>150.25</v>
      </c>
      <c r="AI254">
        <v>152.30000000000001</v>
      </c>
      <c r="AJ254">
        <v>151.80000000000001</v>
      </c>
      <c r="AK254">
        <v>136</v>
      </c>
      <c r="AL254">
        <v>150.4</v>
      </c>
      <c r="AM254" t="str">
        <f t="shared" si="7"/>
        <v>Pre-COVID</v>
      </c>
    </row>
    <row r="255" spans="1:39" x14ac:dyDescent="0.35">
      <c r="A255" t="s">
        <v>33</v>
      </c>
      <c r="B255">
        <v>2020</v>
      </c>
      <c r="C255" t="s">
        <v>35</v>
      </c>
      <c r="D255" s="4">
        <f>DATE(B255,MATCH(C255,{"January","February","March","April","May","June","July","August","September","October","November","December"},0),1)</f>
        <v>43862</v>
      </c>
      <c r="E255">
        <v>146.19999999999999</v>
      </c>
      <c r="F255">
        <v>167.6</v>
      </c>
      <c r="G255">
        <v>153.1</v>
      </c>
      <c r="H255">
        <v>150.69999999999999</v>
      </c>
      <c r="I255">
        <v>127.4</v>
      </c>
      <c r="J255">
        <v>143.1</v>
      </c>
      <c r="K255">
        <v>181.7</v>
      </c>
      <c r="L255">
        <v>139.6</v>
      </c>
      <c r="M255">
        <v>114.6</v>
      </c>
      <c r="N255">
        <v>150.4</v>
      </c>
      <c r="O255">
        <v>131.5</v>
      </c>
      <c r="P255">
        <v>159</v>
      </c>
      <c r="Q255">
        <v>151.69999999999999</v>
      </c>
      <c r="R255">
        <v>172</v>
      </c>
      <c r="S255">
        <v>147.30000000000001</v>
      </c>
      <c r="T255">
        <v>133.5</v>
      </c>
      <c r="U255">
        <v>145.19999999999999</v>
      </c>
      <c r="V255">
        <v>154.80000000000001</v>
      </c>
      <c r="W255">
        <v>138.9</v>
      </c>
      <c r="X255">
        <v>140.4</v>
      </c>
      <c r="Y255">
        <v>144.4</v>
      </c>
      <c r="Z255">
        <v>125.2</v>
      </c>
      <c r="AA255">
        <v>137.69999999999999</v>
      </c>
      <c r="AB255">
        <v>152.19999999999999</v>
      </c>
      <c r="AC255">
        <v>143.5</v>
      </c>
      <c r="AD255">
        <v>138.4</v>
      </c>
      <c r="AE255">
        <v>147.69999999999999</v>
      </c>
      <c r="AF255">
        <f t="shared" si="6"/>
        <v>147.07499999999999</v>
      </c>
      <c r="AG255">
        <v>172</v>
      </c>
      <c r="AH255">
        <f>AVERAGE(Table1[[#This Row],[Clothing]:[Footwear]])</f>
        <v>140.4</v>
      </c>
      <c r="AI255">
        <v>138.9</v>
      </c>
      <c r="AJ255">
        <v>140.4</v>
      </c>
      <c r="AK255">
        <v>125.2</v>
      </c>
      <c r="AL255">
        <v>137.69999999999999</v>
      </c>
      <c r="AM255" t="str">
        <f t="shared" si="7"/>
        <v>Pre-COVID</v>
      </c>
    </row>
    <row r="256" spans="1:39" x14ac:dyDescent="0.35">
      <c r="A256" t="s">
        <v>34</v>
      </c>
      <c r="B256">
        <v>2020</v>
      </c>
      <c r="C256" t="s">
        <v>35</v>
      </c>
      <c r="D256" s="4">
        <f>DATE(B256,MATCH(C256,{"January","February","March","April","May","June","July","August","September","October","November","December"},0),1)</f>
        <v>43862</v>
      </c>
      <c r="E256">
        <v>144.80000000000001</v>
      </c>
      <c r="F256">
        <v>167.5</v>
      </c>
      <c r="G256">
        <v>151.80000000000001</v>
      </c>
      <c r="H256">
        <v>150.80000000000001</v>
      </c>
      <c r="I256">
        <v>131.4</v>
      </c>
      <c r="J256">
        <v>141.80000000000001</v>
      </c>
      <c r="K256">
        <v>170.7</v>
      </c>
      <c r="L256">
        <v>141.1</v>
      </c>
      <c r="M256">
        <v>113.6</v>
      </c>
      <c r="N256">
        <v>152</v>
      </c>
      <c r="O256">
        <v>136.5</v>
      </c>
      <c r="P256">
        <v>159.1</v>
      </c>
      <c r="Q256">
        <v>150.5</v>
      </c>
      <c r="R256">
        <v>170.1</v>
      </c>
      <c r="S256">
        <v>150.80000000000001</v>
      </c>
      <c r="T256">
        <v>141.69999999999999</v>
      </c>
      <c r="U256">
        <v>149.5</v>
      </c>
      <c r="V256">
        <v>154.80000000000001</v>
      </c>
      <c r="W256">
        <v>147.19999999999999</v>
      </c>
      <c r="X256">
        <v>146.4</v>
      </c>
      <c r="Y256">
        <v>151.69999999999999</v>
      </c>
      <c r="Z256">
        <v>130.30000000000001</v>
      </c>
      <c r="AA256">
        <v>143.19999999999999</v>
      </c>
      <c r="AB256">
        <v>156.19999999999999</v>
      </c>
      <c r="AC256">
        <v>143.4</v>
      </c>
      <c r="AD256">
        <v>143.6</v>
      </c>
      <c r="AE256">
        <v>149.1</v>
      </c>
      <c r="AF256">
        <f t="shared" si="6"/>
        <v>146.75833333333333</v>
      </c>
      <c r="AG256">
        <v>170.1</v>
      </c>
      <c r="AH256">
        <f>AVERAGE(Table1[[#This Row],[Clothing]:[Footwear]])</f>
        <v>146.25</v>
      </c>
      <c r="AI256">
        <v>147.19999999999999</v>
      </c>
      <c r="AJ256">
        <v>146.4</v>
      </c>
      <c r="AK256">
        <v>130.30000000000001</v>
      </c>
      <c r="AL256">
        <v>143.19999999999999</v>
      </c>
      <c r="AM256" t="str">
        <f t="shared" si="7"/>
        <v>Pre-COVID</v>
      </c>
    </row>
    <row r="257" spans="1:39" x14ac:dyDescent="0.35">
      <c r="A257" t="s">
        <v>30</v>
      </c>
      <c r="B257">
        <v>2020</v>
      </c>
      <c r="C257" t="s">
        <v>36</v>
      </c>
      <c r="D257" s="4">
        <f>DATE(B257,MATCH(C257,{"January","February","March","April","May","June","July","August","September","October","November","December"},0),1)</f>
        <v>43891</v>
      </c>
      <c r="E257">
        <v>144.4</v>
      </c>
      <c r="F257">
        <v>166.8</v>
      </c>
      <c r="G257">
        <v>147.6</v>
      </c>
      <c r="H257">
        <v>151.69999999999999</v>
      </c>
      <c r="I257">
        <v>133.30000000000001</v>
      </c>
      <c r="J257">
        <v>141.80000000000001</v>
      </c>
      <c r="K257">
        <v>152.30000000000001</v>
      </c>
      <c r="L257">
        <v>141.80000000000001</v>
      </c>
      <c r="M257">
        <v>112.6</v>
      </c>
      <c r="N257">
        <v>154</v>
      </c>
      <c r="O257">
        <v>140.1</v>
      </c>
      <c r="P257">
        <v>160</v>
      </c>
      <c r="Q257">
        <v>148.19999999999999</v>
      </c>
      <c r="R257">
        <v>170.5</v>
      </c>
      <c r="S257">
        <v>153.4</v>
      </c>
      <c r="T257">
        <v>147.6</v>
      </c>
      <c r="U257">
        <v>152.5</v>
      </c>
      <c r="V257">
        <v>154.5</v>
      </c>
      <c r="W257">
        <v>153.4</v>
      </c>
      <c r="X257">
        <v>151.5</v>
      </c>
      <c r="Y257">
        <v>156.69999999999999</v>
      </c>
      <c r="Z257">
        <v>135.80000000000001</v>
      </c>
      <c r="AA257">
        <v>151.19999999999999</v>
      </c>
      <c r="AB257">
        <v>161.19999999999999</v>
      </c>
      <c r="AC257">
        <v>145.1</v>
      </c>
      <c r="AD257">
        <v>148.6</v>
      </c>
      <c r="AE257">
        <v>149.80000000000001</v>
      </c>
      <c r="AF257">
        <f t="shared" si="6"/>
        <v>145.5333333333333</v>
      </c>
      <c r="AG257">
        <v>170.5</v>
      </c>
      <c r="AH257">
        <f>AVERAGE(Table1[[#This Row],[Clothing]:[Footwear]])</f>
        <v>150.5</v>
      </c>
      <c r="AI257">
        <v>153.4</v>
      </c>
      <c r="AJ257">
        <v>151.5</v>
      </c>
      <c r="AK257">
        <v>135.80000000000001</v>
      </c>
      <c r="AL257">
        <v>151.19999999999999</v>
      </c>
      <c r="AM257" t="str">
        <f t="shared" si="7"/>
        <v>COVID Onset</v>
      </c>
    </row>
    <row r="258" spans="1:39" x14ac:dyDescent="0.35">
      <c r="A258" t="s">
        <v>33</v>
      </c>
      <c r="B258">
        <v>2020</v>
      </c>
      <c r="C258" t="s">
        <v>36</v>
      </c>
      <c r="D258" s="4">
        <f>DATE(B258,MATCH(C258,{"January","February","March","April","May","June","July","August","September","October","November","December"},0),1)</f>
        <v>43891</v>
      </c>
      <c r="E258">
        <v>146.5</v>
      </c>
      <c r="F258">
        <v>167.5</v>
      </c>
      <c r="G258">
        <v>148.9</v>
      </c>
      <c r="H258">
        <v>151.1</v>
      </c>
      <c r="I258">
        <v>127.5</v>
      </c>
      <c r="J258">
        <v>143.30000000000001</v>
      </c>
      <c r="K258">
        <v>167</v>
      </c>
      <c r="L258">
        <v>139.69999999999999</v>
      </c>
      <c r="M258">
        <v>114.4</v>
      </c>
      <c r="N258">
        <v>151.5</v>
      </c>
      <c r="O258">
        <v>131.9</v>
      </c>
      <c r="P258">
        <v>159.1</v>
      </c>
      <c r="Q258">
        <v>150.1</v>
      </c>
      <c r="R258">
        <v>173.3</v>
      </c>
      <c r="S258">
        <v>147.69999999999999</v>
      </c>
      <c r="T258">
        <v>133.80000000000001</v>
      </c>
      <c r="U258">
        <v>145.6</v>
      </c>
      <c r="V258">
        <v>154.5</v>
      </c>
      <c r="W258">
        <v>141.4</v>
      </c>
      <c r="X258">
        <v>140.80000000000001</v>
      </c>
      <c r="Y258">
        <v>145</v>
      </c>
      <c r="Z258">
        <v>124.6</v>
      </c>
      <c r="AA258">
        <v>137.9</v>
      </c>
      <c r="AB258">
        <v>152.5</v>
      </c>
      <c r="AC258">
        <v>145.30000000000001</v>
      </c>
      <c r="AD258">
        <v>138.69999999999999</v>
      </c>
      <c r="AE258">
        <v>147.30000000000001</v>
      </c>
      <c r="AF258">
        <f t="shared" ref="AF258:AF321" si="8">AVERAGE(E258:P258)</f>
        <v>145.70000000000002</v>
      </c>
      <c r="AG258">
        <v>173.3</v>
      </c>
      <c r="AH258">
        <f>AVERAGE(Table1[[#This Row],[Clothing]:[Footwear]])</f>
        <v>140.75</v>
      </c>
      <c r="AI258">
        <v>141.4</v>
      </c>
      <c r="AJ258">
        <v>140.80000000000001</v>
      </c>
      <c r="AK258">
        <v>124.6</v>
      </c>
      <c r="AL258">
        <v>137.9</v>
      </c>
      <c r="AM258" t="str">
        <f t="shared" ref="AM258:AM321" si="9">IF(D258&lt;DATE(2020,3,1),"Pre-COVID",IF(D258=DATE(2020,3,1),"COVID Onset",IF(D258&lt;=DATE(2020,5,31),"Lockdown","Post-COVID")))</f>
        <v>COVID Onset</v>
      </c>
    </row>
    <row r="259" spans="1:39" x14ac:dyDescent="0.35">
      <c r="A259" t="s">
        <v>34</v>
      </c>
      <c r="B259">
        <v>2020</v>
      </c>
      <c r="C259" t="s">
        <v>36</v>
      </c>
      <c r="D259" s="4">
        <f>DATE(B259,MATCH(C259,{"January","February","March","April","May","June","July","August","September","October","November","December"},0),1)</f>
        <v>43891</v>
      </c>
      <c r="E259">
        <v>145.1</v>
      </c>
      <c r="F259">
        <v>167</v>
      </c>
      <c r="G259">
        <v>148.1</v>
      </c>
      <c r="H259">
        <v>151.5</v>
      </c>
      <c r="I259">
        <v>131.19999999999999</v>
      </c>
      <c r="J259">
        <v>142.5</v>
      </c>
      <c r="K259">
        <v>157.30000000000001</v>
      </c>
      <c r="L259">
        <v>141.1</v>
      </c>
      <c r="M259">
        <v>113.2</v>
      </c>
      <c r="N259">
        <v>153.19999999999999</v>
      </c>
      <c r="O259">
        <v>136.69999999999999</v>
      </c>
      <c r="P259">
        <v>159.6</v>
      </c>
      <c r="Q259">
        <v>148.9</v>
      </c>
      <c r="R259">
        <v>171.2</v>
      </c>
      <c r="S259">
        <v>151.19999999999999</v>
      </c>
      <c r="T259">
        <v>141.9</v>
      </c>
      <c r="U259">
        <v>149.80000000000001</v>
      </c>
      <c r="V259">
        <v>154.5</v>
      </c>
      <c r="W259">
        <v>148.9</v>
      </c>
      <c r="X259">
        <v>146.4</v>
      </c>
      <c r="Y259">
        <v>152.30000000000001</v>
      </c>
      <c r="Z259">
        <v>129.9</v>
      </c>
      <c r="AA259">
        <v>143.69999999999999</v>
      </c>
      <c r="AB259">
        <v>156.1</v>
      </c>
      <c r="AC259">
        <v>145.19999999999999</v>
      </c>
      <c r="AD259">
        <v>143.80000000000001</v>
      </c>
      <c r="AE259">
        <v>148.6</v>
      </c>
      <c r="AF259">
        <f t="shared" si="8"/>
        <v>145.54166666666666</v>
      </c>
      <c r="AG259">
        <v>171.2</v>
      </c>
      <c r="AH259">
        <f>AVERAGE(Table1[[#This Row],[Clothing]:[Footwear]])</f>
        <v>146.55000000000001</v>
      </c>
      <c r="AI259">
        <v>148.9</v>
      </c>
      <c r="AJ259">
        <v>146.4</v>
      </c>
      <c r="AK259">
        <v>129.9</v>
      </c>
      <c r="AL259">
        <v>143.69999999999999</v>
      </c>
      <c r="AM259" t="str">
        <f t="shared" si="9"/>
        <v>COVID Onset</v>
      </c>
    </row>
    <row r="260" spans="1:39" x14ac:dyDescent="0.35">
      <c r="A260" t="s">
        <v>30</v>
      </c>
      <c r="B260">
        <v>2020</v>
      </c>
      <c r="C260" t="s">
        <v>37</v>
      </c>
      <c r="D260" s="4">
        <f>DATE(B260,MATCH(C260,{"January","February","March","April","May","June","July","August","September","October","November","December"},0),1)</f>
        <v>43922</v>
      </c>
      <c r="E260">
        <v>147.19999999999999</v>
      </c>
      <c r="F260">
        <v>174.63</v>
      </c>
      <c r="G260">
        <v>146.9</v>
      </c>
      <c r="H260">
        <v>155.6</v>
      </c>
      <c r="I260">
        <v>137.1</v>
      </c>
      <c r="J260">
        <v>147.30000000000001</v>
      </c>
      <c r="K260">
        <v>162.69999999999999</v>
      </c>
      <c r="L260">
        <v>150.19999999999999</v>
      </c>
      <c r="M260">
        <v>119.8</v>
      </c>
      <c r="N260">
        <v>158.69999999999999</v>
      </c>
      <c r="O260">
        <v>139.19999999999999</v>
      </c>
      <c r="P260">
        <v>160.6</v>
      </c>
      <c r="Q260">
        <v>150.1</v>
      </c>
      <c r="R260">
        <v>174.47</v>
      </c>
      <c r="S260">
        <v>153.83000000000001</v>
      </c>
      <c r="T260">
        <v>148.4</v>
      </c>
      <c r="U260">
        <v>153.03</v>
      </c>
      <c r="V260">
        <v>155.6</v>
      </c>
      <c r="W260">
        <v>148.4</v>
      </c>
      <c r="X260">
        <v>151.57</v>
      </c>
      <c r="Y260">
        <v>154.30000000000001</v>
      </c>
      <c r="Z260">
        <v>137.66999999999999</v>
      </c>
      <c r="AA260">
        <v>151.87</v>
      </c>
      <c r="AB260">
        <v>161.4</v>
      </c>
      <c r="AC260" s="1">
        <f t="shared" ref="AC260:AE262" si="10">AC257+(AC266-AC257)/3</f>
        <v>147.13333333333333</v>
      </c>
      <c r="AD260" s="1">
        <f t="shared" si="10"/>
        <v>149.63333333333333</v>
      </c>
      <c r="AE260" s="1">
        <f t="shared" si="10"/>
        <v>150.76666666666668</v>
      </c>
      <c r="AF260">
        <f t="shared" si="8"/>
        <v>149.99416666666667</v>
      </c>
      <c r="AG260">
        <v>174.47</v>
      </c>
      <c r="AH260">
        <f>AVERAGE(Table1[[#This Row],[Clothing]:[Footwear]])</f>
        <v>151.11500000000001</v>
      </c>
      <c r="AI260">
        <v>148.4</v>
      </c>
      <c r="AJ260">
        <v>151.57</v>
      </c>
      <c r="AK260">
        <v>137.66999999999999</v>
      </c>
      <c r="AL260">
        <v>151.87</v>
      </c>
      <c r="AM260" t="str">
        <f t="shared" si="9"/>
        <v>Lockdown</v>
      </c>
    </row>
    <row r="261" spans="1:39" x14ac:dyDescent="0.35">
      <c r="A261" t="s">
        <v>33</v>
      </c>
      <c r="B261">
        <v>2020</v>
      </c>
      <c r="C261" t="s">
        <v>37</v>
      </c>
      <c r="D261" s="4">
        <f>DATE(B261,MATCH(C261,{"January","February","March","April","May","June","July","August","September","October","November","December"},0),1)</f>
        <v>43922</v>
      </c>
      <c r="E261">
        <v>151.80000000000001</v>
      </c>
      <c r="F261">
        <v>177.33</v>
      </c>
      <c r="G261">
        <v>151.9</v>
      </c>
      <c r="H261">
        <v>155.5</v>
      </c>
      <c r="I261">
        <v>131.6</v>
      </c>
      <c r="J261">
        <v>152.9</v>
      </c>
      <c r="K261">
        <v>180</v>
      </c>
      <c r="L261">
        <v>150.80000000000001</v>
      </c>
      <c r="M261">
        <v>121.2</v>
      </c>
      <c r="N261">
        <v>154</v>
      </c>
      <c r="O261">
        <v>133.5</v>
      </c>
      <c r="P261">
        <v>159.97</v>
      </c>
      <c r="Q261">
        <v>153.5</v>
      </c>
      <c r="R261">
        <v>177.77</v>
      </c>
      <c r="S261">
        <v>148.16999999999999</v>
      </c>
      <c r="T261">
        <v>134.72999999999999</v>
      </c>
      <c r="U261">
        <v>146.13</v>
      </c>
      <c r="V261">
        <v>155.6</v>
      </c>
      <c r="W261">
        <v>137.1</v>
      </c>
      <c r="X261">
        <v>140.66999999999999</v>
      </c>
      <c r="Y261">
        <v>144.80000000000001</v>
      </c>
      <c r="Z261">
        <v>126.17</v>
      </c>
      <c r="AA261">
        <v>140.1</v>
      </c>
      <c r="AB261">
        <v>152.5</v>
      </c>
      <c r="AC261">
        <f t="shared" si="10"/>
        <v>147.6</v>
      </c>
      <c r="AD261">
        <f t="shared" si="10"/>
        <v>139.79999999999998</v>
      </c>
      <c r="AE261" s="1">
        <f t="shared" si="10"/>
        <v>148.46666666666667</v>
      </c>
      <c r="AF261">
        <f t="shared" si="8"/>
        <v>151.70833333333334</v>
      </c>
      <c r="AG261">
        <v>177.77</v>
      </c>
      <c r="AH261">
        <f>AVERAGE(Table1[[#This Row],[Clothing]:[Footwear]])</f>
        <v>141.44999999999999</v>
      </c>
      <c r="AI261">
        <v>137.1</v>
      </c>
      <c r="AJ261">
        <v>140.66999999999999</v>
      </c>
      <c r="AK261">
        <v>126.17</v>
      </c>
      <c r="AL261">
        <v>140.1</v>
      </c>
      <c r="AM261" t="str">
        <f t="shared" si="9"/>
        <v>Lockdown</v>
      </c>
    </row>
    <row r="262" spans="1:39" x14ac:dyDescent="0.35">
      <c r="A262" t="s">
        <v>34</v>
      </c>
      <c r="B262">
        <v>2020</v>
      </c>
      <c r="C262" t="s">
        <v>37</v>
      </c>
      <c r="D262" s="4">
        <f>DATE(B262,MATCH(C262,{"January","February","March","April","May","June","July","August","September","October","November","December"},0),1)</f>
        <v>43922</v>
      </c>
      <c r="E262">
        <v>148.69999999999999</v>
      </c>
      <c r="F262">
        <v>175.57</v>
      </c>
      <c r="G262">
        <v>148.80000000000001</v>
      </c>
      <c r="H262">
        <v>155.6</v>
      </c>
      <c r="I262">
        <v>135.1</v>
      </c>
      <c r="J262">
        <v>149.9</v>
      </c>
      <c r="K262">
        <v>168.6</v>
      </c>
      <c r="L262">
        <v>150.4</v>
      </c>
      <c r="M262">
        <v>120.3</v>
      </c>
      <c r="N262">
        <v>157.1</v>
      </c>
      <c r="O262">
        <v>136.80000000000001</v>
      </c>
      <c r="P262">
        <v>160.33000000000001</v>
      </c>
      <c r="Q262">
        <v>151.4</v>
      </c>
      <c r="R262">
        <v>175.3</v>
      </c>
      <c r="S262">
        <v>151.63</v>
      </c>
      <c r="T262">
        <v>142.72999999999999</v>
      </c>
      <c r="U262">
        <v>150.33000000000001</v>
      </c>
      <c r="V262">
        <v>155.6</v>
      </c>
      <c r="W262">
        <v>144.1</v>
      </c>
      <c r="X262">
        <v>146.4</v>
      </c>
      <c r="Y262">
        <v>150.69999999999999</v>
      </c>
      <c r="Z262">
        <v>131.6</v>
      </c>
      <c r="AA262">
        <v>145.22999999999999</v>
      </c>
      <c r="AB262">
        <v>156.19999999999999</v>
      </c>
      <c r="AC262" s="1">
        <f t="shared" si="10"/>
        <v>147.33333333333331</v>
      </c>
      <c r="AD262" s="1">
        <f t="shared" si="10"/>
        <v>144.86666666666667</v>
      </c>
      <c r="AE262" s="1">
        <f t="shared" si="10"/>
        <v>149.66666666666666</v>
      </c>
      <c r="AF262">
        <f t="shared" si="8"/>
        <v>150.6</v>
      </c>
      <c r="AG262">
        <v>175.3</v>
      </c>
      <c r="AH262">
        <f>AVERAGE(Table1[[#This Row],[Clothing]:[Footwear]])</f>
        <v>147.18</v>
      </c>
      <c r="AI262">
        <v>144.1</v>
      </c>
      <c r="AJ262">
        <v>146.4</v>
      </c>
      <c r="AK262">
        <v>131.6</v>
      </c>
      <c r="AL262">
        <v>145.22999999999999</v>
      </c>
      <c r="AM262" t="str">
        <f t="shared" si="9"/>
        <v>Lockdown</v>
      </c>
    </row>
    <row r="263" spans="1:39" x14ac:dyDescent="0.35">
      <c r="A263" t="s">
        <v>30</v>
      </c>
      <c r="B263">
        <v>2020</v>
      </c>
      <c r="C263" t="s">
        <v>38</v>
      </c>
      <c r="D263" s="4">
        <f>DATE(B263,MATCH(C263,{"January","February","March","April","May","June","July","August","September","October","November","December"},0),1)</f>
        <v>43952</v>
      </c>
      <c r="E263">
        <v>147.69999999999999</v>
      </c>
      <c r="F263">
        <v>182.47</v>
      </c>
      <c r="G263">
        <v>148.15</v>
      </c>
      <c r="H263">
        <v>154.44999999999999</v>
      </c>
      <c r="I263">
        <v>137.65</v>
      </c>
      <c r="J263">
        <v>145.25</v>
      </c>
      <c r="K263">
        <v>155.80000000000001</v>
      </c>
      <c r="L263">
        <v>150.25</v>
      </c>
      <c r="M263">
        <v>116.5</v>
      </c>
      <c r="N263">
        <v>159.25</v>
      </c>
      <c r="O263">
        <v>140.65</v>
      </c>
      <c r="P263">
        <v>161.19999999999999</v>
      </c>
      <c r="Q263">
        <v>151.19999999999999</v>
      </c>
      <c r="R263">
        <v>178.43</v>
      </c>
      <c r="S263">
        <v>154.27000000000001</v>
      </c>
      <c r="T263">
        <v>149.19999999999999</v>
      </c>
      <c r="U263">
        <v>153.57</v>
      </c>
      <c r="V263">
        <v>155.15</v>
      </c>
      <c r="W263">
        <v>146.65</v>
      </c>
      <c r="X263">
        <v>151.63</v>
      </c>
      <c r="Y263">
        <v>156.25</v>
      </c>
      <c r="Z263">
        <v>139.53</v>
      </c>
      <c r="AA263">
        <v>154.07</v>
      </c>
      <c r="AB263">
        <v>161.6</v>
      </c>
      <c r="AC263" s="1">
        <f t="shared" ref="AC263:AE265" si="11">AC260+(AC266-AC257)/3</f>
        <v>149.16666666666666</v>
      </c>
      <c r="AD263" s="1">
        <f t="shared" si="11"/>
        <v>150.66666666666666</v>
      </c>
      <c r="AE263" s="1">
        <f t="shared" si="11"/>
        <v>151.73333333333335</v>
      </c>
      <c r="AF263">
        <f t="shared" si="8"/>
        <v>149.94333333333336</v>
      </c>
      <c r="AG263">
        <v>178.43</v>
      </c>
      <c r="AH263">
        <f>AVERAGE(Table1[[#This Row],[Clothing]:[Footwear]])</f>
        <v>151.73500000000001</v>
      </c>
      <c r="AI263">
        <v>146.65</v>
      </c>
      <c r="AJ263">
        <v>151.63</v>
      </c>
      <c r="AK263">
        <v>139.53</v>
      </c>
      <c r="AL263">
        <v>154.07</v>
      </c>
      <c r="AM263" t="str">
        <f t="shared" si="9"/>
        <v>Lockdown</v>
      </c>
    </row>
    <row r="264" spans="1:39" x14ac:dyDescent="0.35">
      <c r="A264" t="s">
        <v>33</v>
      </c>
      <c r="B264">
        <v>2020</v>
      </c>
      <c r="C264" t="s">
        <v>38</v>
      </c>
      <c r="D264" s="4">
        <f>DATE(B264,MATCH(C264,{"January","February","March","April","May","June","July","August","September","October","November","December"},0),1)</f>
        <v>43952</v>
      </c>
      <c r="E264">
        <v>152.25</v>
      </c>
      <c r="F264">
        <v>187.17</v>
      </c>
      <c r="G264">
        <v>153.25</v>
      </c>
      <c r="H264">
        <v>154.44999999999999</v>
      </c>
      <c r="I264">
        <v>132.25</v>
      </c>
      <c r="J264">
        <v>152.35</v>
      </c>
      <c r="K264">
        <v>175.6</v>
      </c>
      <c r="L264">
        <v>151.4</v>
      </c>
      <c r="M264">
        <v>118.75</v>
      </c>
      <c r="N264">
        <v>156.4</v>
      </c>
      <c r="O264">
        <v>134.55000000000001</v>
      </c>
      <c r="P264">
        <v>160.83000000000001</v>
      </c>
      <c r="Q264">
        <v>155.25</v>
      </c>
      <c r="R264">
        <v>182.23</v>
      </c>
      <c r="S264">
        <v>148.63</v>
      </c>
      <c r="T264">
        <v>135.66999999999999</v>
      </c>
      <c r="U264">
        <v>146.66999999999999</v>
      </c>
      <c r="V264">
        <v>155.15</v>
      </c>
      <c r="W264">
        <v>137.1</v>
      </c>
      <c r="X264">
        <v>140.53</v>
      </c>
      <c r="Y264">
        <v>146.44999999999999</v>
      </c>
      <c r="Z264">
        <v>127.73</v>
      </c>
      <c r="AA264">
        <v>142.30000000000001</v>
      </c>
      <c r="AB264">
        <v>152.5</v>
      </c>
      <c r="AC264">
        <f t="shared" si="11"/>
        <v>149.89999999999998</v>
      </c>
      <c r="AD264">
        <f t="shared" si="11"/>
        <v>140.89999999999998</v>
      </c>
      <c r="AE264" s="1">
        <f t="shared" si="11"/>
        <v>149.63333333333333</v>
      </c>
      <c r="AF264">
        <f t="shared" si="8"/>
        <v>152.4375</v>
      </c>
      <c r="AG264">
        <v>182.23</v>
      </c>
      <c r="AH264">
        <f>AVERAGE(Table1[[#This Row],[Clothing]:[Footwear]])</f>
        <v>142.14999999999998</v>
      </c>
      <c r="AI264">
        <v>137.1</v>
      </c>
      <c r="AJ264">
        <v>140.53</v>
      </c>
      <c r="AK264">
        <v>127.73</v>
      </c>
      <c r="AL264">
        <v>142.30000000000001</v>
      </c>
      <c r="AM264" t="str">
        <f t="shared" si="9"/>
        <v>Lockdown</v>
      </c>
    </row>
    <row r="265" spans="1:39" x14ac:dyDescent="0.35">
      <c r="A265" t="s">
        <v>34</v>
      </c>
      <c r="B265">
        <v>2020</v>
      </c>
      <c r="C265" t="s">
        <v>38</v>
      </c>
      <c r="D265" s="4">
        <f>DATE(B265,MATCH(C265,{"January","February","March","April","May","June","July","August","September","October","November","December"},0),1)</f>
        <v>43952</v>
      </c>
      <c r="E265">
        <v>149.15</v>
      </c>
      <c r="F265">
        <v>184.13</v>
      </c>
      <c r="G265">
        <v>150.1</v>
      </c>
      <c r="H265">
        <v>154.44999999999999</v>
      </c>
      <c r="I265">
        <v>135.69999999999999</v>
      </c>
      <c r="J265">
        <v>148.55000000000001</v>
      </c>
      <c r="K265">
        <v>162.55000000000001</v>
      </c>
      <c r="L265">
        <v>150.65</v>
      </c>
      <c r="M265">
        <v>117.25</v>
      </c>
      <c r="N265">
        <v>158.30000000000001</v>
      </c>
      <c r="O265">
        <v>138.1</v>
      </c>
      <c r="P265">
        <v>161.07</v>
      </c>
      <c r="Q265">
        <v>152.69999999999999</v>
      </c>
      <c r="R265">
        <v>179.4</v>
      </c>
      <c r="S265">
        <v>152.07</v>
      </c>
      <c r="T265">
        <v>143.57</v>
      </c>
      <c r="U265">
        <v>150.87</v>
      </c>
      <c r="V265">
        <v>155.15</v>
      </c>
      <c r="W265">
        <v>143</v>
      </c>
      <c r="X265">
        <v>146.4</v>
      </c>
      <c r="Y265">
        <v>152.55000000000001</v>
      </c>
      <c r="Z265">
        <v>133.30000000000001</v>
      </c>
      <c r="AA265">
        <v>146.77000000000001</v>
      </c>
      <c r="AB265">
        <v>156.27000000000001</v>
      </c>
      <c r="AC265" s="1">
        <f t="shared" si="11"/>
        <v>149.46666666666664</v>
      </c>
      <c r="AD265" s="1">
        <f t="shared" si="11"/>
        <v>145.93333333333334</v>
      </c>
      <c r="AE265" s="1">
        <f t="shared" si="11"/>
        <v>150.73333333333332</v>
      </c>
      <c r="AF265">
        <f t="shared" si="8"/>
        <v>150.83333333333331</v>
      </c>
      <c r="AG265">
        <v>179.4</v>
      </c>
      <c r="AH265">
        <f>AVERAGE(Table1[[#This Row],[Clothing]:[Footwear]])</f>
        <v>147.82</v>
      </c>
      <c r="AI265">
        <v>143</v>
      </c>
      <c r="AJ265">
        <v>146.4</v>
      </c>
      <c r="AK265">
        <v>133.30000000000001</v>
      </c>
      <c r="AL265">
        <v>146.77000000000001</v>
      </c>
      <c r="AM265" t="str">
        <f t="shared" si="9"/>
        <v>Lockdown</v>
      </c>
    </row>
    <row r="266" spans="1:39" x14ac:dyDescent="0.35">
      <c r="A266" t="s">
        <v>30</v>
      </c>
      <c r="B266">
        <v>2020</v>
      </c>
      <c r="C266" t="s">
        <v>39</v>
      </c>
      <c r="D266" s="4">
        <f>DATE(B266,MATCH(C266,{"January","February","March","April","May","June","July","August","September","October","November","December"},0),1)</f>
        <v>43983</v>
      </c>
      <c r="E266">
        <v>148.19999999999999</v>
      </c>
      <c r="F266">
        <v>190.3</v>
      </c>
      <c r="G266">
        <v>149.4</v>
      </c>
      <c r="H266">
        <v>153.30000000000001</v>
      </c>
      <c r="I266">
        <v>138.19999999999999</v>
      </c>
      <c r="J266">
        <v>143.19999999999999</v>
      </c>
      <c r="K266">
        <v>148.9</v>
      </c>
      <c r="L266">
        <v>150.30000000000001</v>
      </c>
      <c r="M266">
        <v>113.2</v>
      </c>
      <c r="N266">
        <v>159.80000000000001</v>
      </c>
      <c r="O266">
        <v>142.1</v>
      </c>
      <c r="P266">
        <v>161.80000000000001</v>
      </c>
      <c r="Q266">
        <v>152.30000000000001</v>
      </c>
      <c r="R266">
        <v>182.4</v>
      </c>
      <c r="S266">
        <v>154.69999999999999</v>
      </c>
      <c r="T266">
        <v>150</v>
      </c>
      <c r="U266">
        <v>154.1</v>
      </c>
      <c r="V266">
        <v>154.69999999999999</v>
      </c>
      <c r="W266">
        <v>144.9</v>
      </c>
      <c r="X266">
        <v>151.69999999999999</v>
      </c>
      <c r="Y266">
        <v>158.19999999999999</v>
      </c>
      <c r="Z266">
        <v>141.4</v>
      </c>
      <c r="AA266">
        <v>153.19999999999999</v>
      </c>
      <c r="AB266">
        <v>161.80000000000001</v>
      </c>
      <c r="AC266">
        <v>151.19999999999999</v>
      </c>
      <c r="AD266">
        <v>151.69999999999999</v>
      </c>
      <c r="AE266">
        <v>152.69999999999999</v>
      </c>
      <c r="AF266">
        <f t="shared" si="8"/>
        <v>149.89166666666668</v>
      </c>
      <c r="AG266">
        <v>182.4</v>
      </c>
      <c r="AH266">
        <f>AVERAGE(Table1[[#This Row],[Clothing]:[Footwear]])</f>
        <v>152.35</v>
      </c>
      <c r="AI266">
        <v>144.9</v>
      </c>
      <c r="AJ266">
        <v>151.69999999999999</v>
      </c>
      <c r="AK266">
        <v>141.4</v>
      </c>
      <c r="AL266">
        <v>153.19999999999999</v>
      </c>
      <c r="AM266" t="str">
        <f t="shared" si="9"/>
        <v>Post-COVID</v>
      </c>
    </row>
    <row r="267" spans="1:39" x14ac:dyDescent="0.35">
      <c r="A267" t="s">
        <v>33</v>
      </c>
      <c r="B267">
        <v>2020</v>
      </c>
      <c r="C267" t="s">
        <v>39</v>
      </c>
      <c r="D267" s="4">
        <f>DATE(B267,MATCH(C267,{"January","February","March","April","May","June","July","August","September","October","November","December"},0),1)</f>
        <v>43983</v>
      </c>
      <c r="E267">
        <v>152.69999999999999</v>
      </c>
      <c r="F267">
        <v>197</v>
      </c>
      <c r="G267">
        <v>154.6</v>
      </c>
      <c r="H267">
        <v>153.4</v>
      </c>
      <c r="I267">
        <v>132.9</v>
      </c>
      <c r="J267">
        <v>151.80000000000001</v>
      </c>
      <c r="K267">
        <v>171.2</v>
      </c>
      <c r="L267">
        <v>152</v>
      </c>
      <c r="M267">
        <v>116.3</v>
      </c>
      <c r="N267">
        <v>158.80000000000001</v>
      </c>
      <c r="O267">
        <v>135.6</v>
      </c>
      <c r="P267">
        <v>161.69999999999999</v>
      </c>
      <c r="Q267">
        <v>157</v>
      </c>
      <c r="R267">
        <v>186.7</v>
      </c>
      <c r="S267">
        <v>149.1</v>
      </c>
      <c r="T267">
        <v>136.6</v>
      </c>
      <c r="U267">
        <v>147.19999999999999</v>
      </c>
      <c r="V267">
        <v>154.69999999999999</v>
      </c>
      <c r="W267">
        <v>137.1</v>
      </c>
      <c r="X267">
        <v>140.4</v>
      </c>
      <c r="Y267">
        <v>148.1</v>
      </c>
      <c r="Z267">
        <v>129.30000000000001</v>
      </c>
      <c r="AA267">
        <v>144.5</v>
      </c>
      <c r="AB267">
        <v>152.5</v>
      </c>
      <c r="AC267">
        <v>152.19999999999999</v>
      </c>
      <c r="AD267">
        <v>142</v>
      </c>
      <c r="AE267">
        <v>150.80000000000001</v>
      </c>
      <c r="AF267">
        <f t="shared" si="8"/>
        <v>153.16666666666666</v>
      </c>
      <c r="AG267">
        <v>186.7</v>
      </c>
      <c r="AH267">
        <f>AVERAGE(Table1[[#This Row],[Clothing]:[Footwear]])</f>
        <v>142.85</v>
      </c>
      <c r="AI267">
        <v>137.1</v>
      </c>
      <c r="AJ267">
        <v>140.4</v>
      </c>
      <c r="AK267">
        <v>129.30000000000001</v>
      </c>
      <c r="AL267">
        <v>144.5</v>
      </c>
      <c r="AM267" t="str">
        <f t="shared" si="9"/>
        <v>Post-COVID</v>
      </c>
    </row>
    <row r="268" spans="1:39" x14ac:dyDescent="0.35">
      <c r="A268" t="s">
        <v>34</v>
      </c>
      <c r="B268">
        <v>2020</v>
      </c>
      <c r="C268" t="s">
        <v>39</v>
      </c>
      <c r="D268" s="4">
        <f>DATE(B268,MATCH(C268,{"January","February","March","April","May","June","July","August","September","October","November","December"},0),1)</f>
        <v>43983</v>
      </c>
      <c r="E268">
        <v>149.6</v>
      </c>
      <c r="F268">
        <v>192.7</v>
      </c>
      <c r="G268">
        <v>151.4</v>
      </c>
      <c r="H268">
        <v>153.30000000000001</v>
      </c>
      <c r="I268">
        <v>136.30000000000001</v>
      </c>
      <c r="J268">
        <v>147.19999999999999</v>
      </c>
      <c r="K268">
        <v>156.5</v>
      </c>
      <c r="L268">
        <v>150.9</v>
      </c>
      <c r="M268">
        <v>114.2</v>
      </c>
      <c r="N268">
        <v>159.5</v>
      </c>
      <c r="O268">
        <v>139.4</v>
      </c>
      <c r="P268">
        <v>161.80000000000001</v>
      </c>
      <c r="Q268">
        <v>154</v>
      </c>
      <c r="R268">
        <v>183.5</v>
      </c>
      <c r="S268">
        <v>152.5</v>
      </c>
      <c r="T268">
        <v>144.4</v>
      </c>
      <c r="U268">
        <v>151.4</v>
      </c>
      <c r="V268">
        <v>154.69999999999999</v>
      </c>
      <c r="W268">
        <v>141.9</v>
      </c>
      <c r="X268">
        <v>146.4</v>
      </c>
      <c r="Y268">
        <v>154.4</v>
      </c>
      <c r="Z268">
        <v>135</v>
      </c>
      <c r="AA268">
        <v>148.30000000000001</v>
      </c>
      <c r="AB268">
        <v>156.4</v>
      </c>
      <c r="AC268">
        <v>151.6</v>
      </c>
      <c r="AD268">
        <v>147</v>
      </c>
      <c r="AE268">
        <v>151.80000000000001</v>
      </c>
      <c r="AF268">
        <f t="shared" si="8"/>
        <v>151.06666666666669</v>
      </c>
      <c r="AG268">
        <v>183.5</v>
      </c>
      <c r="AH268">
        <f>AVERAGE(Table1[[#This Row],[Clothing]:[Footwear]])</f>
        <v>148.44999999999999</v>
      </c>
      <c r="AI268">
        <v>141.9</v>
      </c>
      <c r="AJ268">
        <v>146.4</v>
      </c>
      <c r="AK268">
        <v>135</v>
      </c>
      <c r="AL268">
        <v>148.30000000000001</v>
      </c>
      <c r="AM268" t="str">
        <f t="shared" si="9"/>
        <v>Post-COVID</v>
      </c>
    </row>
    <row r="269" spans="1:39" x14ac:dyDescent="0.35">
      <c r="A269" t="s">
        <v>30</v>
      </c>
      <c r="B269">
        <v>2020</v>
      </c>
      <c r="C269" t="s">
        <v>40</v>
      </c>
      <c r="D269" s="4">
        <f>DATE(B269,MATCH(C269,{"January","February","March","April","May","June","July","August","September","October","November","December"},0),1)</f>
        <v>44013</v>
      </c>
      <c r="E269">
        <v>148.19999999999999</v>
      </c>
      <c r="F269">
        <v>190.3</v>
      </c>
      <c r="G269">
        <v>149.4</v>
      </c>
      <c r="H269">
        <v>153.30000000000001</v>
      </c>
      <c r="I269">
        <v>138.19999999999999</v>
      </c>
      <c r="J269">
        <v>143.19999999999999</v>
      </c>
      <c r="K269">
        <v>148.9</v>
      </c>
      <c r="L269">
        <v>150.30000000000001</v>
      </c>
      <c r="M269">
        <v>113.2</v>
      </c>
      <c r="N269">
        <v>159.80000000000001</v>
      </c>
      <c r="O269">
        <v>142.1</v>
      </c>
      <c r="P269">
        <v>161.80000000000001</v>
      </c>
      <c r="Q269">
        <v>152.30000000000001</v>
      </c>
      <c r="R269">
        <v>182.4</v>
      </c>
      <c r="S269">
        <v>154.69999999999999</v>
      </c>
      <c r="T269">
        <v>150</v>
      </c>
      <c r="U269">
        <v>154.1</v>
      </c>
      <c r="V269">
        <v>154.69999999999999</v>
      </c>
      <c r="W269">
        <v>144.9</v>
      </c>
      <c r="X269">
        <v>151.69999999999999</v>
      </c>
      <c r="Y269">
        <v>158.19999999999999</v>
      </c>
      <c r="Z269">
        <v>141.4</v>
      </c>
      <c r="AA269">
        <v>153.19999999999999</v>
      </c>
      <c r="AB269">
        <v>161.80000000000001</v>
      </c>
      <c r="AC269">
        <v>151.19999999999999</v>
      </c>
      <c r="AD269">
        <v>151.69999999999999</v>
      </c>
      <c r="AE269">
        <v>152.69999999999999</v>
      </c>
      <c r="AF269">
        <f t="shared" si="8"/>
        <v>149.89166666666668</v>
      </c>
      <c r="AG269">
        <v>182.4</v>
      </c>
      <c r="AH269">
        <f>AVERAGE(Table1[[#This Row],[Clothing]:[Footwear]])</f>
        <v>152.35</v>
      </c>
      <c r="AI269">
        <v>144.9</v>
      </c>
      <c r="AJ269">
        <v>151.69999999999999</v>
      </c>
      <c r="AK269">
        <v>141.4</v>
      </c>
      <c r="AL269">
        <v>153.19999999999999</v>
      </c>
      <c r="AM269" t="str">
        <f t="shared" si="9"/>
        <v>Post-COVID</v>
      </c>
    </row>
    <row r="270" spans="1:39" x14ac:dyDescent="0.35">
      <c r="A270" t="s">
        <v>33</v>
      </c>
      <c r="B270">
        <v>2020</v>
      </c>
      <c r="C270" t="s">
        <v>40</v>
      </c>
      <c r="D270" s="4">
        <f>DATE(B270,MATCH(C270,{"January","February","March","April","May","June","July","August","September","October","November","December"},0),1)</f>
        <v>44013</v>
      </c>
      <c r="E270">
        <v>152.69999999999999</v>
      </c>
      <c r="F270">
        <v>197</v>
      </c>
      <c r="G270">
        <v>154.6</v>
      </c>
      <c r="H270">
        <v>153.4</v>
      </c>
      <c r="I270">
        <v>132.9</v>
      </c>
      <c r="J270">
        <v>151.80000000000001</v>
      </c>
      <c r="K270">
        <v>171.2</v>
      </c>
      <c r="L270">
        <v>152</v>
      </c>
      <c r="M270">
        <v>116.3</v>
      </c>
      <c r="N270">
        <v>158.80000000000001</v>
      </c>
      <c r="O270">
        <v>135.6</v>
      </c>
      <c r="P270">
        <v>161.69999999999999</v>
      </c>
      <c r="Q270">
        <v>157</v>
      </c>
      <c r="R270">
        <v>186.7</v>
      </c>
      <c r="S270">
        <v>149.1</v>
      </c>
      <c r="T270">
        <v>136.6</v>
      </c>
      <c r="U270">
        <v>147.19999999999999</v>
      </c>
      <c r="V270">
        <v>154.69999999999999</v>
      </c>
      <c r="W270">
        <v>137.1</v>
      </c>
      <c r="X270">
        <v>140.4</v>
      </c>
      <c r="Y270">
        <v>148.1</v>
      </c>
      <c r="Z270">
        <v>129.30000000000001</v>
      </c>
      <c r="AA270">
        <v>144.5</v>
      </c>
      <c r="AB270">
        <v>152.5</v>
      </c>
      <c r="AC270">
        <v>152.19999999999999</v>
      </c>
      <c r="AD270">
        <v>142</v>
      </c>
      <c r="AE270">
        <v>150.80000000000001</v>
      </c>
      <c r="AF270">
        <f t="shared" si="8"/>
        <v>153.16666666666666</v>
      </c>
      <c r="AG270">
        <v>186.7</v>
      </c>
      <c r="AH270">
        <f>AVERAGE(Table1[[#This Row],[Clothing]:[Footwear]])</f>
        <v>142.85</v>
      </c>
      <c r="AI270">
        <v>137.1</v>
      </c>
      <c r="AJ270">
        <v>140.4</v>
      </c>
      <c r="AK270">
        <v>129.30000000000001</v>
      </c>
      <c r="AL270">
        <v>144.5</v>
      </c>
      <c r="AM270" t="str">
        <f t="shared" si="9"/>
        <v>Post-COVID</v>
      </c>
    </row>
    <row r="271" spans="1:39" x14ac:dyDescent="0.35">
      <c r="A271" t="s">
        <v>34</v>
      </c>
      <c r="B271">
        <v>2020</v>
      </c>
      <c r="C271" t="s">
        <v>40</v>
      </c>
      <c r="D271" s="4">
        <f>DATE(B271,MATCH(C271,{"January","February","March","April","May","June","July","August","September","October","November","December"},0),1)</f>
        <v>44013</v>
      </c>
      <c r="E271">
        <v>149.6</v>
      </c>
      <c r="F271">
        <v>192.7</v>
      </c>
      <c r="G271">
        <v>151.4</v>
      </c>
      <c r="H271">
        <v>153.30000000000001</v>
      </c>
      <c r="I271">
        <v>136.30000000000001</v>
      </c>
      <c r="J271">
        <v>147.19999999999999</v>
      </c>
      <c r="K271">
        <v>156.5</v>
      </c>
      <c r="L271">
        <v>150.9</v>
      </c>
      <c r="M271">
        <v>114.2</v>
      </c>
      <c r="N271">
        <v>159.5</v>
      </c>
      <c r="O271">
        <v>139.4</v>
      </c>
      <c r="P271">
        <v>161.80000000000001</v>
      </c>
      <c r="Q271">
        <v>154</v>
      </c>
      <c r="R271">
        <v>183.5</v>
      </c>
      <c r="S271">
        <v>152.5</v>
      </c>
      <c r="T271">
        <v>144.4</v>
      </c>
      <c r="U271">
        <v>151.4</v>
      </c>
      <c r="V271">
        <v>154.69999999999999</v>
      </c>
      <c r="W271">
        <v>141.9</v>
      </c>
      <c r="X271">
        <v>146.4</v>
      </c>
      <c r="Y271">
        <v>154.4</v>
      </c>
      <c r="Z271">
        <v>135</v>
      </c>
      <c r="AA271">
        <v>148.30000000000001</v>
      </c>
      <c r="AB271">
        <v>156.4</v>
      </c>
      <c r="AC271">
        <v>151.6</v>
      </c>
      <c r="AD271">
        <v>147</v>
      </c>
      <c r="AE271">
        <v>151.80000000000001</v>
      </c>
      <c r="AF271">
        <f t="shared" si="8"/>
        <v>151.06666666666669</v>
      </c>
      <c r="AG271">
        <v>183.5</v>
      </c>
      <c r="AH271">
        <f>AVERAGE(Table1[[#This Row],[Clothing]:[Footwear]])</f>
        <v>148.44999999999999</v>
      </c>
      <c r="AI271">
        <v>141.9</v>
      </c>
      <c r="AJ271">
        <v>146.4</v>
      </c>
      <c r="AK271">
        <v>135</v>
      </c>
      <c r="AL271">
        <v>148.30000000000001</v>
      </c>
      <c r="AM271" t="str">
        <f t="shared" si="9"/>
        <v>Post-COVID</v>
      </c>
    </row>
    <row r="272" spans="1:39" x14ac:dyDescent="0.35">
      <c r="A272" t="s">
        <v>30</v>
      </c>
      <c r="B272">
        <v>2020</v>
      </c>
      <c r="C272" t="s">
        <v>41</v>
      </c>
      <c r="D272" s="4">
        <f>DATE(B272,MATCH(C272,{"January","February","March","April","May","June","July","August","September","October","November","December"},0),1)</f>
        <v>44044</v>
      </c>
      <c r="E272">
        <v>147.6</v>
      </c>
      <c r="F272">
        <v>187.2</v>
      </c>
      <c r="G272">
        <v>148.4</v>
      </c>
      <c r="H272">
        <v>153.30000000000001</v>
      </c>
      <c r="I272">
        <v>139.80000000000001</v>
      </c>
      <c r="J272">
        <v>146.9</v>
      </c>
      <c r="K272">
        <v>171</v>
      </c>
      <c r="L272">
        <v>149.9</v>
      </c>
      <c r="M272">
        <v>114.2</v>
      </c>
      <c r="N272">
        <v>160</v>
      </c>
      <c r="O272">
        <v>143.5</v>
      </c>
      <c r="P272">
        <v>161.5</v>
      </c>
      <c r="Q272">
        <v>155.30000000000001</v>
      </c>
      <c r="R272">
        <v>180.9</v>
      </c>
      <c r="S272">
        <v>155.1</v>
      </c>
      <c r="T272">
        <v>149.30000000000001</v>
      </c>
      <c r="U272">
        <v>154.30000000000001</v>
      </c>
      <c r="V272">
        <v>155.5</v>
      </c>
      <c r="W272">
        <v>145.80000000000001</v>
      </c>
      <c r="X272">
        <v>151.9</v>
      </c>
      <c r="Y272">
        <v>158.80000000000001</v>
      </c>
      <c r="Z272">
        <v>143.6</v>
      </c>
      <c r="AA272">
        <v>152.19999999999999</v>
      </c>
      <c r="AB272">
        <v>162.69999999999999</v>
      </c>
      <c r="AC272">
        <v>153.6</v>
      </c>
      <c r="AD272">
        <v>153</v>
      </c>
      <c r="AE272">
        <v>154.69999999999999</v>
      </c>
      <c r="AF272">
        <f t="shared" si="8"/>
        <v>151.94166666666666</v>
      </c>
      <c r="AG272">
        <v>180.9</v>
      </c>
      <c r="AH272">
        <f>AVERAGE(Table1[[#This Row],[Clothing]:[Footwear]])</f>
        <v>152.19999999999999</v>
      </c>
      <c r="AI272">
        <v>145.80000000000001</v>
      </c>
      <c r="AJ272">
        <v>151.9</v>
      </c>
      <c r="AK272">
        <v>143.6</v>
      </c>
      <c r="AL272">
        <v>152.19999999999999</v>
      </c>
      <c r="AM272" t="str">
        <f t="shared" si="9"/>
        <v>Post-COVID</v>
      </c>
    </row>
    <row r="273" spans="1:39" x14ac:dyDescent="0.35">
      <c r="A273" t="s">
        <v>33</v>
      </c>
      <c r="B273">
        <v>2020</v>
      </c>
      <c r="C273" t="s">
        <v>41</v>
      </c>
      <c r="D273" s="4">
        <f>DATE(B273,MATCH(C273,{"January","February","March","April","May","June","July","August","September","October","November","December"},0),1)</f>
        <v>44044</v>
      </c>
      <c r="E273">
        <v>151.6</v>
      </c>
      <c r="F273">
        <v>197.8</v>
      </c>
      <c r="G273">
        <v>154.5</v>
      </c>
      <c r="H273">
        <v>153.4</v>
      </c>
      <c r="I273">
        <v>133.4</v>
      </c>
      <c r="J273">
        <v>154.5</v>
      </c>
      <c r="K273">
        <v>191.9</v>
      </c>
      <c r="L273">
        <v>151.30000000000001</v>
      </c>
      <c r="M273">
        <v>116.8</v>
      </c>
      <c r="N273">
        <v>160</v>
      </c>
      <c r="O273">
        <v>136.5</v>
      </c>
      <c r="P273">
        <v>163.30000000000001</v>
      </c>
      <c r="Q273">
        <v>159.9</v>
      </c>
      <c r="R273">
        <v>187.2</v>
      </c>
      <c r="S273">
        <v>150</v>
      </c>
      <c r="T273">
        <v>135.19999999999999</v>
      </c>
      <c r="U273">
        <v>147.80000000000001</v>
      </c>
      <c r="V273">
        <v>155.5</v>
      </c>
      <c r="W273">
        <v>138.30000000000001</v>
      </c>
      <c r="X273">
        <v>144.5</v>
      </c>
      <c r="Y273">
        <v>148.69999999999999</v>
      </c>
      <c r="Z273">
        <v>133.9</v>
      </c>
      <c r="AA273">
        <v>141.19999999999999</v>
      </c>
      <c r="AB273">
        <v>155.5</v>
      </c>
      <c r="AC273">
        <v>155.19999999999999</v>
      </c>
      <c r="AD273">
        <v>144.80000000000001</v>
      </c>
      <c r="AE273">
        <v>152.9</v>
      </c>
      <c r="AF273">
        <f t="shared" si="8"/>
        <v>155.41666666666666</v>
      </c>
      <c r="AG273">
        <v>187.2</v>
      </c>
      <c r="AH273">
        <f>AVERAGE(Table1[[#This Row],[Clothing]:[Footwear]])</f>
        <v>142.6</v>
      </c>
      <c r="AI273">
        <v>138.30000000000001</v>
      </c>
      <c r="AJ273">
        <v>144.5</v>
      </c>
      <c r="AK273">
        <v>133.9</v>
      </c>
      <c r="AL273">
        <v>141.19999999999999</v>
      </c>
      <c r="AM273" t="str">
        <f t="shared" si="9"/>
        <v>Post-COVID</v>
      </c>
    </row>
    <row r="274" spans="1:39" x14ac:dyDescent="0.35">
      <c r="A274" t="s">
        <v>34</v>
      </c>
      <c r="B274">
        <v>2020</v>
      </c>
      <c r="C274" t="s">
        <v>41</v>
      </c>
      <c r="D274" s="4">
        <f>DATE(B274,MATCH(C274,{"January","February","March","April","May","June","July","August","September","October","November","December"},0),1)</f>
        <v>44044</v>
      </c>
      <c r="E274">
        <v>148.9</v>
      </c>
      <c r="F274">
        <v>190.9</v>
      </c>
      <c r="G274">
        <v>150.80000000000001</v>
      </c>
      <c r="H274">
        <v>153.30000000000001</v>
      </c>
      <c r="I274">
        <v>137.4</v>
      </c>
      <c r="J274">
        <v>150.4</v>
      </c>
      <c r="K274">
        <v>178.1</v>
      </c>
      <c r="L274">
        <v>150.4</v>
      </c>
      <c r="M274">
        <v>115.1</v>
      </c>
      <c r="N274">
        <v>160</v>
      </c>
      <c r="O274">
        <v>140.6</v>
      </c>
      <c r="P274">
        <v>162.30000000000001</v>
      </c>
      <c r="Q274">
        <v>157</v>
      </c>
      <c r="R274">
        <v>182.6</v>
      </c>
      <c r="S274">
        <v>153.1</v>
      </c>
      <c r="T274">
        <v>143.4</v>
      </c>
      <c r="U274">
        <v>151.69999999999999</v>
      </c>
      <c r="V274">
        <v>155.5</v>
      </c>
      <c r="W274">
        <v>143</v>
      </c>
      <c r="X274">
        <v>148.4</v>
      </c>
      <c r="Y274">
        <v>155</v>
      </c>
      <c r="Z274">
        <v>138.5</v>
      </c>
      <c r="AA274">
        <v>146</v>
      </c>
      <c r="AB274">
        <v>158.5</v>
      </c>
      <c r="AC274">
        <v>154.30000000000001</v>
      </c>
      <c r="AD274">
        <v>149</v>
      </c>
      <c r="AE274">
        <v>153.9</v>
      </c>
      <c r="AF274">
        <f t="shared" si="8"/>
        <v>153.18333333333331</v>
      </c>
      <c r="AG274">
        <v>182.6</v>
      </c>
      <c r="AH274">
        <f>AVERAGE(Table1[[#This Row],[Clothing]:[Footwear]])</f>
        <v>148.25</v>
      </c>
      <c r="AI274">
        <v>143</v>
      </c>
      <c r="AJ274">
        <v>148.4</v>
      </c>
      <c r="AK274">
        <v>138.5</v>
      </c>
      <c r="AL274">
        <v>146</v>
      </c>
      <c r="AM274" t="str">
        <f t="shared" si="9"/>
        <v>Post-COVID</v>
      </c>
    </row>
    <row r="275" spans="1:39" x14ac:dyDescent="0.35">
      <c r="A275" t="s">
        <v>30</v>
      </c>
      <c r="B275">
        <v>2020</v>
      </c>
      <c r="C275" t="s">
        <v>42</v>
      </c>
      <c r="D275" s="4">
        <f>DATE(B275,MATCH(C275,{"January","February","March","April","May","June","July","August","September","October","November","December"},0),1)</f>
        <v>44075</v>
      </c>
      <c r="E275">
        <v>146.9</v>
      </c>
      <c r="F275">
        <v>183.9</v>
      </c>
      <c r="G275">
        <v>149.5</v>
      </c>
      <c r="H275">
        <v>153.4</v>
      </c>
      <c r="I275">
        <v>140.4</v>
      </c>
      <c r="J275">
        <v>147</v>
      </c>
      <c r="K275">
        <v>178.8</v>
      </c>
      <c r="L275">
        <v>149.30000000000001</v>
      </c>
      <c r="M275">
        <v>115.1</v>
      </c>
      <c r="N275">
        <v>160</v>
      </c>
      <c r="O275">
        <v>145.4</v>
      </c>
      <c r="P275">
        <v>161.6</v>
      </c>
      <c r="Q275">
        <v>156.1</v>
      </c>
      <c r="R275">
        <v>182.9</v>
      </c>
      <c r="S275">
        <v>155.4</v>
      </c>
      <c r="T275">
        <v>149.9</v>
      </c>
      <c r="U275">
        <v>154.6</v>
      </c>
      <c r="V275">
        <v>156.30000000000001</v>
      </c>
      <c r="W275">
        <v>146.4</v>
      </c>
      <c r="X275">
        <v>151.6</v>
      </c>
      <c r="Y275">
        <v>159.1</v>
      </c>
      <c r="Z275">
        <v>144.6</v>
      </c>
      <c r="AA275">
        <v>152.80000000000001</v>
      </c>
      <c r="AB275">
        <v>161.1</v>
      </c>
      <c r="AC275">
        <v>157.4</v>
      </c>
      <c r="AD275">
        <v>153.69999999999999</v>
      </c>
      <c r="AE275">
        <v>155.4</v>
      </c>
      <c r="AF275">
        <f t="shared" si="8"/>
        <v>152.60833333333332</v>
      </c>
      <c r="AG275">
        <v>182.9</v>
      </c>
      <c r="AH275">
        <f>AVERAGE(Table1[[#This Row],[Clothing]:[Footwear]])</f>
        <v>152.65</v>
      </c>
      <c r="AI275">
        <v>146.4</v>
      </c>
      <c r="AJ275">
        <v>151.6</v>
      </c>
      <c r="AK275">
        <v>144.6</v>
      </c>
      <c r="AL275">
        <v>152.80000000000001</v>
      </c>
      <c r="AM275" t="str">
        <f t="shared" si="9"/>
        <v>Post-COVID</v>
      </c>
    </row>
    <row r="276" spans="1:39" x14ac:dyDescent="0.35">
      <c r="A276" t="s">
        <v>33</v>
      </c>
      <c r="B276">
        <v>2020</v>
      </c>
      <c r="C276" t="s">
        <v>42</v>
      </c>
      <c r="D276" s="4">
        <f>DATE(B276,MATCH(C276,{"January","February","March","April","May","June","July","August","September","October","November","December"},0),1)</f>
        <v>44075</v>
      </c>
      <c r="E276">
        <v>151.5</v>
      </c>
      <c r="F276">
        <v>193.1</v>
      </c>
      <c r="G276">
        <v>157.30000000000001</v>
      </c>
      <c r="H276">
        <v>153.9</v>
      </c>
      <c r="I276">
        <v>134.4</v>
      </c>
      <c r="J276">
        <v>155.4</v>
      </c>
      <c r="K276">
        <v>202</v>
      </c>
      <c r="L276">
        <v>150.80000000000001</v>
      </c>
      <c r="M276">
        <v>118.9</v>
      </c>
      <c r="N276">
        <v>160.9</v>
      </c>
      <c r="O276">
        <v>137.69999999999999</v>
      </c>
      <c r="P276">
        <v>164.4</v>
      </c>
      <c r="Q276">
        <v>161.30000000000001</v>
      </c>
      <c r="R276">
        <v>188.7</v>
      </c>
      <c r="S276">
        <v>150.19999999999999</v>
      </c>
      <c r="T276">
        <v>136.30000000000001</v>
      </c>
      <c r="U276">
        <v>148.1</v>
      </c>
      <c r="V276">
        <v>156.30000000000001</v>
      </c>
      <c r="W276">
        <v>137.19999999999999</v>
      </c>
      <c r="X276">
        <v>145.4</v>
      </c>
      <c r="Y276">
        <v>150</v>
      </c>
      <c r="Z276">
        <v>135.1</v>
      </c>
      <c r="AA276">
        <v>141.80000000000001</v>
      </c>
      <c r="AB276">
        <v>154.9</v>
      </c>
      <c r="AC276">
        <v>159.80000000000001</v>
      </c>
      <c r="AD276">
        <v>146</v>
      </c>
      <c r="AE276">
        <v>154</v>
      </c>
      <c r="AF276">
        <f t="shared" si="8"/>
        <v>156.69166666666669</v>
      </c>
      <c r="AG276">
        <v>188.7</v>
      </c>
      <c r="AH276">
        <f>AVERAGE(Table1[[#This Row],[Clothing]:[Footwear]])</f>
        <v>143.25</v>
      </c>
      <c r="AI276">
        <v>137.19999999999999</v>
      </c>
      <c r="AJ276">
        <v>145.4</v>
      </c>
      <c r="AK276">
        <v>135.1</v>
      </c>
      <c r="AL276">
        <v>141.80000000000001</v>
      </c>
      <c r="AM276" t="str">
        <f t="shared" si="9"/>
        <v>Post-COVID</v>
      </c>
    </row>
    <row r="277" spans="1:39" x14ac:dyDescent="0.35">
      <c r="A277" t="s">
        <v>34</v>
      </c>
      <c r="B277">
        <v>2020</v>
      </c>
      <c r="C277" t="s">
        <v>42</v>
      </c>
      <c r="D277" s="4">
        <f>DATE(B277,MATCH(C277,{"January","February","March","April","May","June","July","August","September","October","November","December"},0),1)</f>
        <v>44075</v>
      </c>
      <c r="E277">
        <v>148.4</v>
      </c>
      <c r="F277">
        <v>187.1</v>
      </c>
      <c r="G277">
        <v>152.5</v>
      </c>
      <c r="H277">
        <v>153.6</v>
      </c>
      <c r="I277">
        <v>138.19999999999999</v>
      </c>
      <c r="J277">
        <v>150.9</v>
      </c>
      <c r="K277">
        <v>186.7</v>
      </c>
      <c r="L277">
        <v>149.80000000000001</v>
      </c>
      <c r="M277">
        <v>116.4</v>
      </c>
      <c r="N277">
        <v>160.30000000000001</v>
      </c>
      <c r="O277">
        <v>142.19999999999999</v>
      </c>
      <c r="P277">
        <v>162.9</v>
      </c>
      <c r="Q277">
        <v>158</v>
      </c>
      <c r="R277">
        <v>184.4</v>
      </c>
      <c r="S277">
        <v>153.4</v>
      </c>
      <c r="T277">
        <v>144.30000000000001</v>
      </c>
      <c r="U277">
        <v>152</v>
      </c>
      <c r="V277">
        <v>156.30000000000001</v>
      </c>
      <c r="W277">
        <v>142.9</v>
      </c>
      <c r="X277">
        <v>148.69999999999999</v>
      </c>
      <c r="Y277">
        <v>155.6</v>
      </c>
      <c r="Z277">
        <v>139.6</v>
      </c>
      <c r="AA277">
        <v>146.6</v>
      </c>
      <c r="AB277">
        <v>157.5</v>
      </c>
      <c r="AC277">
        <v>158.4</v>
      </c>
      <c r="AD277">
        <v>150</v>
      </c>
      <c r="AE277">
        <v>154.69999999999999</v>
      </c>
      <c r="AF277">
        <f t="shared" si="8"/>
        <v>154.08333333333334</v>
      </c>
      <c r="AG277">
        <v>184.4</v>
      </c>
      <c r="AH277">
        <f>AVERAGE(Table1[[#This Row],[Clothing]:[Footwear]])</f>
        <v>148.85000000000002</v>
      </c>
      <c r="AI277">
        <v>142.9</v>
      </c>
      <c r="AJ277">
        <v>148.69999999999999</v>
      </c>
      <c r="AK277">
        <v>139.6</v>
      </c>
      <c r="AL277">
        <v>146.6</v>
      </c>
      <c r="AM277" t="str">
        <f t="shared" si="9"/>
        <v>Post-COVID</v>
      </c>
    </row>
    <row r="278" spans="1:39" x14ac:dyDescent="0.35">
      <c r="A278" t="s">
        <v>30</v>
      </c>
      <c r="B278">
        <v>2020</v>
      </c>
      <c r="C278" t="s">
        <v>43</v>
      </c>
      <c r="D278" s="4">
        <f>DATE(B278,MATCH(C278,{"January","February","March","April","May","June","July","August","September","October","November","December"},0),1)</f>
        <v>44105</v>
      </c>
      <c r="E278">
        <v>146</v>
      </c>
      <c r="F278">
        <v>186.3</v>
      </c>
      <c r="G278">
        <v>159.19999999999999</v>
      </c>
      <c r="H278">
        <v>153.6</v>
      </c>
      <c r="I278">
        <v>142.6</v>
      </c>
      <c r="J278">
        <v>147.19999999999999</v>
      </c>
      <c r="K278">
        <v>200.6</v>
      </c>
      <c r="L278">
        <v>150.30000000000001</v>
      </c>
      <c r="M278">
        <v>115.3</v>
      </c>
      <c r="N278">
        <v>160.9</v>
      </c>
      <c r="O278">
        <v>147.4</v>
      </c>
      <c r="P278">
        <v>161.9</v>
      </c>
      <c r="Q278">
        <v>159.6</v>
      </c>
      <c r="R278">
        <v>182.7</v>
      </c>
      <c r="S278">
        <v>155.69999999999999</v>
      </c>
      <c r="T278">
        <v>150.6</v>
      </c>
      <c r="U278">
        <v>155</v>
      </c>
      <c r="V278">
        <v>156.5</v>
      </c>
      <c r="W278">
        <v>146.80000000000001</v>
      </c>
      <c r="X278">
        <v>152</v>
      </c>
      <c r="Y278">
        <v>159.5</v>
      </c>
      <c r="Z278">
        <v>146.4</v>
      </c>
      <c r="AA278">
        <v>152.4</v>
      </c>
      <c r="AB278">
        <v>162.5</v>
      </c>
      <c r="AC278">
        <v>156.19999999999999</v>
      </c>
      <c r="AD278">
        <v>154.30000000000001</v>
      </c>
      <c r="AE278">
        <v>157.5</v>
      </c>
      <c r="AF278">
        <f t="shared" si="8"/>
        <v>155.94166666666669</v>
      </c>
      <c r="AG278">
        <v>182.7</v>
      </c>
      <c r="AH278">
        <f>AVERAGE(Table1[[#This Row],[Clothing]:[Footwear]])</f>
        <v>153.14999999999998</v>
      </c>
      <c r="AI278">
        <v>146.80000000000001</v>
      </c>
      <c r="AJ278">
        <v>152</v>
      </c>
      <c r="AK278">
        <v>146.4</v>
      </c>
      <c r="AL278">
        <v>152.4</v>
      </c>
      <c r="AM278" t="str">
        <f t="shared" si="9"/>
        <v>Post-COVID</v>
      </c>
    </row>
    <row r="279" spans="1:39" x14ac:dyDescent="0.35">
      <c r="A279" t="s">
        <v>33</v>
      </c>
      <c r="B279">
        <v>2020</v>
      </c>
      <c r="C279" t="s">
        <v>43</v>
      </c>
      <c r="D279" s="4">
        <f>DATE(B279,MATCH(C279,{"January","February","March","April","May","June","July","August","September","October","November","December"},0),1)</f>
        <v>44105</v>
      </c>
      <c r="E279">
        <v>150.6</v>
      </c>
      <c r="F279">
        <v>193.7</v>
      </c>
      <c r="G279">
        <v>164.8</v>
      </c>
      <c r="H279">
        <v>153.69999999999999</v>
      </c>
      <c r="I279">
        <v>135.69999999999999</v>
      </c>
      <c r="J279">
        <v>155.69999999999999</v>
      </c>
      <c r="K279">
        <v>226</v>
      </c>
      <c r="L279">
        <v>152.19999999999999</v>
      </c>
      <c r="M279">
        <v>118.1</v>
      </c>
      <c r="N279">
        <v>161.30000000000001</v>
      </c>
      <c r="O279">
        <v>139.19999999999999</v>
      </c>
      <c r="P279">
        <v>164.8</v>
      </c>
      <c r="Q279">
        <v>164.4</v>
      </c>
      <c r="R279">
        <v>188.7</v>
      </c>
      <c r="S279">
        <v>150.5</v>
      </c>
      <c r="T279">
        <v>136.1</v>
      </c>
      <c r="U279">
        <v>148.30000000000001</v>
      </c>
      <c r="V279">
        <v>156.5</v>
      </c>
      <c r="W279">
        <v>137.1</v>
      </c>
      <c r="X279">
        <v>145.1</v>
      </c>
      <c r="Y279">
        <v>151</v>
      </c>
      <c r="Z279">
        <v>135.4</v>
      </c>
      <c r="AA279">
        <v>142</v>
      </c>
      <c r="AB279">
        <v>155.69999999999999</v>
      </c>
      <c r="AC279">
        <v>158.1</v>
      </c>
      <c r="AD279">
        <v>146.19999999999999</v>
      </c>
      <c r="AE279">
        <v>155.19999999999999</v>
      </c>
      <c r="AF279">
        <f t="shared" si="8"/>
        <v>159.65</v>
      </c>
      <c r="AG279">
        <v>188.7</v>
      </c>
      <c r="AH279">
        <f>AVERAGE(Table1[[#This Row],[Clothing]:[Footwear]])</f>
        <v>143.30000000000001</v>
      </c>
      <c r="AI279">
        <v>137.1</v>
      </c>
      <c r="AJ279">
        <v>145.1</v>
      </c>
      <c r="AK279">
        <v>135.4</v>
      </c>
      <c r="AL279">
        <v>142</v>
      </c>
      <c r="AM279" t="str">
        <f t="shared" si="9"/>
        <v>Post-COVID</v>
      </c>
    </row>
    <row r="280" spans="1:39" x14ac:dyDescent="0.35">
      <c r="A280" t="s">
        <v>34</v>
      </c>
      <c r="B280">
        <v>2020</v>
      </c>
      <c r="C280" t="s">
        <v>43</v>
      </c>
      <c r="D280" s="4">
        <f>DATE(B280,MATCH(C280,{"January","February","March","April","May","June","July","August","September","October","November","December"},0),1)</f>
        <v>44105</v>
      </c>
      <c r="E280">
        <v>147.5</v>
      </c>
      <c r="F280">
        <v>188.9</v>
      </c>
      <c r="G280">
        <v>161.4</v>
      </c>
      <c r="H280">
        <v>153.6</v>
      </c>
      <c r="I280">
        <v>140.1</v>
      </c>
      <c r="J280">
        <v>151.19999999999999</v>
      </c>
      <c r="K280">
        <v>209.2</v>
      </c>
      <c r="L280">
        <v>150.9</v>
      </c>
      <c r="M280">
        <v>116.2</v>
      </c>
      <c r="N280">
        <v>161</v>
      </c>
      <c r="O280">
        <v>144</v>
      </c>
      <c r="P280">
        <v>163.19999999999999</v>
      </c>
      <c r="Q280">
        <v>161.4</v>
      </c>
      <c r="R280">
        <v>184.3</v>
      </c>
      <c r="S280">
        <v>153.69999999999999</v>
      </c>
      <c r="T280">
        <v>144.6</v>
      </c>
      <c r="U280">
        <v>152.30000000000001</v>
      </c>
      <c r="V280">
        <v>156.5</v>
      </c>
      <c r="W280">
        <v>143.1</v>
      </c>
      <c r="X280">
        <v>148.69999999999999</v>
      </c>
      <c r="Y280">
        <v>156.30000000000001</v>
      </c>
      <c r="Z280">
        <v>140.6</v>
      </c>
      <c r="AA280">
        <v>146.5</v>
      </c>
      <c r="AB280">
        <v>158.5</v>
      </c>
      <c r="AC280">
        <v>157</v>
      </c>
      <c r="AD280">
        <v>150.4</v>
      </c>
      <c r="AE280">
        <v>156.4</v>
      </c>
      <c r="AF280">
        <f t="shared" si="8"/>
        <v>157.26666666666668</v>
      </c>
      <c r="AG280">
        <v>184.3</v>
      </c>
      <c r="AH280">
        <f>AVERAGE(Table1[[#This Row],[Clothing]:[Footwear]])</f>
        <v>149.14999999999998</v>
      </c>
      <c r="AI280">
        <v>143.1</v>
      </c>
      <c r="AJ280">
        <v>148.69999999999999</v>
      </c>
      <c r="AK280">
        <v>140.6</v>
      </c>
      <c r="AL280">
        <v>146.5</v>
      </c>
      <c r="AM280" t="str">
        <f t="shared" si="9"/>
        <v>Post-COVID</v>
      </c>
    </row>
    <row r="281" spans="1:39" x14ac:dyDescent="0.35">
      <c r="A281" t="s">
        <v>30</v>
      </c>
      <c r="B281">
        <v>2020</v>
      </c>
      <c r="C281" t="s">
        <v>45</v>
      </c>
      <c r="D281" s="4">
        <f>DATE(B281,MATCH(C281,{"January","February","March","April","May","June","July","August","September","October","November","December"},0),1)</f>
        <v>44136</v>
      </c>
      <c r="E281">
        <v>145.4</v>
      </c>
      <c r="F281">
        <v>188.6</v>
      </c>
      <c r="G281">
        <v>171.6</v>
      </c>
      <c r="H281">
        <v>153.80000000000001</v>
      </c>
      <c r="I281">
        <v>145.4</v>
      </c>
      <c r="J281">
        <v>146.5</v>
      </c>
      <c r="K281">
        <v>222.2</v>
      </c>
      <c r="L281">
        <v>155.9</v>
      </c>
      <c r="M281">
        <v>114.9</v>
      </c>
      <c r="N281">
        <v>162</v>
      </c>
      <c r="O281">
        <v>150</v>
      </c>
      <c r="P281">
        <v>162.69999999999999</v>
      </c>
      <c r="Q281">
        <v>163.4</v>
      </c>
      <c r="R281">
        <v>183.4</v>
      </c>
      <c r="S281">
        <v>156.30000000000001</v>
      </c>
      <c r="T281">
        <v>151</v>
      </c>
      <c r="U281">
        <v>155.5</v>
      </c>
      <c r="V281">
        <v>158</v>
      </c>
      <c r="W281">
        <v>147.5</v>
      </c>
      <c r="X281">
        <v>152.80000000000001</v>
      </c>
      <c r="Y281">
        <v>160.4</v>
      </c>
      <c r="Z281">
        <v>146.1</v>
      </c>
      <c r="AA281">
        <v>153.6</v>
      </c>
      <c r="AB281">
        <v>161.6</v>
      </c>
      <c r="AC281">
        <v>156.19999999999999</v>
      </c>
      <c r="AD281">
        <v>154.5</v>
      </c>
      <c r="AE281">
        <v>159.80000000000001</v>
      </c>
      <c r="AF281">
        <f t="shared" si="8"/>
        <v>159.91666666666669</v>
      </c>
      <c r="AG281">
        <v>183.4</v>
      </c>
      <c r="AH281">
        <f>AVERAGE(Table1[[#This Row],[Clothing]:[Footwear]])</f>
        <v>153.65</v>
      </c>
      <c r="AI281">
        <v>147.5</v>
      </c>
      <c r="AJ281">
        <v>152.80000000000001</v>
      </c>
      <c r="AK281">
        <v>146.1</v>
      </c>
      <c r="AL281">
        <v>153.6</v>
      </c>
      <c r="AM281" t="str">
        <f t="shared" si="9"/>
        <v>Post-COVID</v>
      </c>
    </row>
    <row r="282" spans="1:39" x14ac:dyDescent="0.35">
      <c r="A282" t="s">
        <v>33</v>
      </c>
      <c r="B282">
        <v>2020</v>
      </c>
      <c r="C282" t="s">
        <v>45</v>
      </c>
      <c r="D282" s="4">
        <f>DATE(B282,MATCH(C282,{"January","February","March","April","May","June","July","August","September","October","November","December"},0),1)</f>
        <v>44136</v>
      </c>
      <c r="E282">
        <v>149.69999999999999</v>
      </c>
      <c r="F282">
        <v>195.5</v>
      </c>
      <c r="G282">
        <v>176.9</v>
      </c>
      <c r="H282">
        <v>153.9</v>
      </c>
      <c r="I282">
        <v>138</v>
      </c>
      <c r="J282">
        <v>150.5</v>
      </c>
      <c r="K282">
        <v>245.3</v>
      </c>
      <c r="L282">
        <v>158.69999999999999</v>
      </c>
      <c r="M282">
        <v>117.2</v>
      </c>
      <c r="N282">
        <v>161.4</v>
      </c>
      <c r="O282">
        <v>141.5</v>
      </c>
      <c r="P282">
        <v>165.1</v>
      </c>
      <c r="Q282">
        <v>167</v>
      </c>
      <c r="R282">
        <v>188.8</v>
      </c>
      <c r="S282">
        <v>151.1</v>
      </c>
      <c r="T282">
        <v>136.4</v>
      </c>
      <c r="U282">
        <v>148.80000000000001</v>
      </c>
      <c r="V282">
        <v>158</v>
      </c>
      <c r="W282">
        <v>137.30000000000001</v>
      </c>
      <c r="X282">
        <v>145.1</v>
      </c>
      <c r="Y282">
        <v>152</v>
      </c>
      <c r="Z282">
        <v>135.19999999999999</v>
      </c>
      <c r="AA282">
        <v>144.4</v>
      </c>
      <c r="AB282">
        <v>156.4</v>
      </c>
      <c r="AC282">
        <v>157.9</v>
      </c>
      <c r="AD282">
        <v>146.6</v>
      </c>
      <c r="AE282">
        <v>156.69999999999999</v>
      </c>
      <c r="AF282">
        <f t="shared" si="8"/>
        <v>162.80833333333334</v>
      </c>
      <c r="AG282">
        <v>188.8</v>
      </c>
      <c r="AH282">
        <f>AVERAGE(Table1[[#This Row],[Clothing]:[Footwear]])</f>
        <v>143.75</v>
      </c>
      <c r="AI282">
        <v>137.30000000000001</v>
      </c>
      <c r="AJ282">
        <v>145.1</v>
      </c>
      <c r="AK282">
        <v>135.19999999999999</v>
      </c>
      <c r="AL282">
        <v>144.4</v>
      </c>
      <c r="AM282" t="str">
        <f t="shared" si="9"/>
        <v>Post-COVID</v>
      </c>
    </row>
    <row r="283" spans="1:39" x14ac:dyDescent="0.35">
      <c r="A283" t="s">
        <v>34</v>
      </c>
      <c r="B283">
        <v>2020</v>
      </c>
      <c r="C283" t="s">
        <v>45</v>
      </c>
      <c r="D283" s="4">
        <f>DATE(B283,MATCH(C283,{"January","February","March","April","May","June","July","August","September","October","November","December"},0),1)</f>
        <v>44136</v>
      </c>
      <c r="E283">
        <v>146.80000000000001</v>
      </c>
      <c r="F283">
        <v>191</v>
      </c>
      <c r="G283">
        <v>173.6</v>
      </c>
      <c r="H283">
        <v>153.80000000000001</v>
      </c>
      <c r="I283">
        <v>142.69999999999999</v>
      </c>
      <c r="J283">
        <v>148.4</v>
      </c>
      <c r="K283">
        <v>230</v>
      </c>
      <c r="L283">
        <v>156.80000000000001</v>
      </c>
      <c r="M283">
        <v>115.7</v>
      </c>
      <c r="N283">
        <v>161.80000000000001</v>
      </c>
      <c r="O283">
        <v>146.5</v>
      </c>
      <c r="P283">
        <v>163.80000000000001</v>
      </c>
      <c r="Q283">
        <v>164.7</v>
      </c>
      <c r="R283">
        <v>184.8</v>
      </c>
      <c r="S283">
        <v>154.30000000000001</v>
      </c>
      <c r="T283">
        <v>144.9</v>
      </c>
      <c r="U283">
        <v>152.80000000000001</v>
      </c>
      <c r="V283">
        <v>158</v>
      </c>
      <c r="W283">
        <v>143.6</v>
      </c>
      <c r="X283">
        <v>149.19999999999999</v>
      </c>
      <c r="Y283">
        <v>157.19999999999999</v>
      </c>
      <c r="Z283">
        <v>140.4</v>
      </c>
      <c r="AA283">
        <v>148.4</v>
      </c>
      <c r="AB283">
        <v>158.6</v>
      </c>
      <c r="AC283">
        <v>156.9</v>
      </c>
      <c r="AD283">
        <v>150.69999999999999</v>
      </c>
      <c r="AE283">
        <v>158.4</v>
      </c>
      <c r="AF283">
        <f t="shared" si="8"/>
        <v>160.90833333333333</v>
      </c>
      <c r="AG283">
        <v>184.8</v>
      </c>
      <c r="AH283">
        <f>AVERAGE(Table1[[#This Row],[Clothing]:[Footwear]])</f>
        <v>149.60000000000002</v>
      </c>
      <c r="AI283">
        <v>143.6</v>
      </c>
      <c r="AJ283">
        <v>149.19999999999999</v>
      </c>
      <c r="AK283">
        <v>140.4</v>
      </c>
      <c r="AL283">
        <v>148.4</v>
      </c>
      <c r="AM283" t="str">
        <f t="shared" si="9"/>
        <v>Post-COVID</v>
      </c>
    </row>
    <row r="284" spans="1:39" x14ac:dyDescent="0.35">
      <c r="A284" t="s">
        <v>30</v>
      </c>
      <c r="B284">
        <v>2020</v>
      </c>
      <c r="C284" t="s">
        <v>46</v>
      </c>
      <c r="D284" s="4">
        <f>DATE(B284,MATCH(C284,{"January","February","March","April","May","June","July","August","September","October","November","December"},0),1)</f>
        <v>44166</v>
      </c>
      <c r="E284">
        <v>144.6</v>
      </c>
      <c r="F284">
        <v>188.5</v>
      </c>
      <c r="G284">
        <v>173.4</v>
      </c>
      <c r="H284">
        <v>154</v>
      </c>
      <c r="I284">
        <v>150</v>
      </c>
      <c r="J284">
        <v>145.9</v>
      </c>
      <c r="K284">
        <v>225.2</v>
      </c>
      <c r="L284">
        <v>159.5</v>
      </c>
      <c r="M284">
        <v>114.4</v>
      </c>
      <c r="N284">
        <v>163.5</v>
      </c>
      <c r="O284">
        <v>153.4</v>
      </c>
      <c r="P284">
        <v>163.6</v>
      </c>
      <c r="Q284">
        <v>164.5</v>
      </c>
      <c r="R284">
        <v>183.6</v>
      </c>
      <c r="S284">
        <v>157</v>
      </c>
      <c r="T284">
        <v>151.6</v>
      </c>
      <c r="U284">
        <v>156.30000000000001</v>
      </c>
      <c r="V284">
        <v>158.4</v>
      </c>
      <c r="W284">
        <v>148.69999999999999</v>
      </c>
      <c r="X284">
        <v>153.4</v>
      </c>
      <c r="Y284">
        <v>161.6</v>
      </c>
      <c r="Z284">
        <v>146.4</v>
      </c>
      <c r="AA284">
        <v>153.9</v>
      </c>
      <c r="AB284">
        <v>162.9</v>
      </c>
      <c r="AC284">
        <v>156.6</v>
      </c>
      <c r="AD284">
        <v>155.19999999999999</v>
      </c>
      <c r="AE284">
        <v>160.69999999999999</v>
      </c>
      <c r="AF284">
        <f t="shared" si="8"/>
        <v>161.33333333333334</v>
      </c>
      <c r="AG284">
        <v>183.6</v>
      </c>
      <c r="AH284">
        <f>AVERAGE(Table1[[#This Row],[Clothing]:[Footwear]])</f>
        <v>154.30000000000001</v>
      </c>
      <c r="AI284">
        <v>148.69999999999999</v>
      </c>
      <c r="AJ284">
        <v>153.4</v>
      </c>
      <c r="AK284">
        <v>146.4</v>
      </c>
      <c r="AL284">
        <v>153.9</v>
      </c>
      <c r="AM284" t="str">
        <f t="shared" si="9"/>
        <v>Post-COVID</v>
      </c>
    </row>
    <row r="285" spans="1:39" x14ac:dyDescent="0.35">
      <c r="A285" t="s">
        <v>33</v>
      </c>
      <c r="B285">
        <v>2020</v>
      </c>
      <c r="C285" t="s">
        <v>46</v>
      </c>
      <c r="D285" s="4">
        <f>DATE(B285,MATCH(C285,{"January","February","March","April","May","June","July","August","September","October","November","December"},0),1)</f>
        <v>44166</v>
      </c>
      <c r="E285">
        <v>149</v>
      </c>
      <c r="F285">
        <v>195.7</v>
      </c>
      <c r="G285">
        <v>178.3</v>
      </c>
      <c r="H285">
        <v>154.19999999999999</v>
      </c>
      <c r="I285">
        <v>140.69999999999999</v>
      </c>
      <c r="J285">
        <v>149.69999999999999</v>
      </c>
      <c r="K285">
        <v>240.9</v>
      </c>
      <c r="L285">
        <v>161.5</v>
      </c>
      <c r="M285">
        <v>117.1</v>
      </c>
      <c r="N285">
        <v>161.9</v>
      </c>
      <c r="O285">
        <v>143.30000000000001</v>
      </c>
      <c r="P285">
        <v>166.1</v>
      </c>
      <c r="Q285">
        <v>167</v>
      </c>
      <c r="R285">
        <v>190.2</v>
      </c>
      <c r="S285">
        <v>151.9</v>
      </c>
      <c r="T285">
        <v>136.69999999999999</v>
      </c>
      <c r="U285">
        <v>149.6</v>
      </c>
      <c r="V285">
        <v>158.4</v>
      </c>
      <c r="W285">
        <v>137.9</v>
      </c>
      <c r="X285">
        <v>145.5</v>
      </c>
      <c r="Y285">
        <v>152.9</v>
      </c>
      <c r="Z285">
        <v>135.5</v>
      </c>
      <c r="AA285">
        <v>144.30000000000001</v>
      </c>
      <c r="AB285">
        <v>156.9</v>
      </c>
      <c r="AC285">
        <v>157.9</v>
      </c>
      <c r="AD285">
        <v>146.9</v>
      </c>
      <c r="AE285">
        <v>156.9</v>
      </c>
      <c r="AF285">
        <f t="shared" si="8"/>
        <v>163.20000000000002</v>
      </c>
      <c r="AG285">
        <v>190.2</v>
      </c>
      <c r="AH285">
        <f>AVERAGE(Table1[[#This Row],[Clothing]:[Footwear]])</f>
        <v>144.30000000000001</v>
      </c>
      <c r="AI285">
        <v>137.9</v>
      </c>
      <c r="AJ285">
        <v>145.5</v>
      </c>
      <c r="AK285">
        <v>135.5</v>
      </c>
      <c r="AL285">
        <v>144.30000000000001</v>
      </c>
      <c r="AM285" t="str">
        <f t="shared" si="9"/>
        <v>Post-COVID</v>
      </c>
    </row>
    <row r="286" spans="1:39" x14ac:dyDescent="0.35">
      <c r="A286" t="s">
        <v>34</v>
      </c>
      <c r="B286">
        <v>2020</v>
      </c>
      <c r="C286" t="s">
        <v>46</v>
      </c>
      <c r="D286" s="4">
        <f>DATE(B286,MATCH(C286,{"January","February","March","April","May","June","July","August","September","October","November","December"},0),1)</f>
        <v>44166</v>
      </c>
      <c r="E286">
        <v>146</v>
      </c>
      <c r="F286">
        <v>191</v>
      </c>
      <c r="G286">
        <v>175.3</v>
      </c>
      <c r="H286">
        <v>154.1</v>
      </c>
      <c r="I286">
        <v>146.6</v>
      </c>
      <c r="J286">
        <v>147.69999999999999</v>
      </c>
      <c r="K286">
        <v>230.5</v>
      </c>
      <c r="L286">
        <v>160.19999999999999</v>
      </c>
      <c r="M286">
        <v>115.3</v>
      </c>
      <c r="N286">
        <v>163</v>
      </c>
      <c r="O286">
        <v>149.19999999999999</v>
      </c>
      <c r="P286">
        <v>164.8</v>
      </c>
      <c r="Q286">
        <v>165.4</v>
      </c>
      <c r="R286">
        <v>185.4</v>
      </c>
      <c r="S286">
        <v>155</v>
      </c>
      <c r="T286">
        <v>145.4</v>
      </c>
      <c r="U286">
        <v>153.6</v>
      </c>
      <c r="V286">
        <v>158.4</v>
      </c>
      <c r="W286">
        <v>144.6</v>
      </c>
      <c r="X286">
        <v>149.69999999999999</v>
      </c>
      <c r="Y286">
        <v>158.30000000000001</v>
      </c>
      <c r="Z286">
        <v>140.69999999999999</v>
      </c>
      <c r="AA286">
        <v>148.5</v>
      </c>
      <c r="AB286">
        <v>159.4</v>
      </c>
      <c r="AC286">
        <v>157.1</v>
      </c>
      <c r="AD286">
        <v>151.19999999999999</v>
      </c>
      <c r="AE286">
        <v>158.9</v>
      </c>
      <c r="AF286">
        <f t="shared" si="8"/>
        <v>161.97499999999999</v>
      </c>
      <c r="AG286">
        <v>185.4</v>
      </c>
      <c r="AH286">
        <f>AVERAGE(Table1[[#This Row],[Clothing]:[Footwear]])</f>
        <v>150.19999999999999</v>
      </c>
      <c r="AI286">
        <v>144.6</v>
      </c>
      <c r="AJ286">
        <v>149.69999999999999</v>
      </c>
      <c r="AK286">
        <v>140.69999999999999</v>
      </c>
      <c r="AL286">
        <v>148.5</v>
      </c>
      <c r="AM286" t="str">
        <f t="shared" si="9"/>
        <v>Post-COVID</v>
      </c>
    </row>
    <row r="287" spans="1:39" x14ac:dyDescent="0.35">
      <c r="A287" t="s">
        <v>30</v>
      </c>
      <c r="B287">
        <v>2021</v>
      </c>
      <c r="C287" t="s">
        <v>31</v>
      </c>
      <c r="D287" s="4">
        <f>DATE(B287,MATCH(C287,{"January","February","March","April","May","June","July","August","September","October","November","December"},0),1)</f>
        <v>44197</v>
      </c>
      <c r="E287">
        <v>143.4</v>
      </c>
      <c r="F287">
        <v>187.5</v>
      </c>
      <c r="G287">
        <v>173.4</v>
      </c>
      <c r="H287">
        <v>154</v>
      </c>
      <c r="I287">
        <v>154.80000000000001</v>
      </c>
      <c r="J287">
        <v>147</v>
      </c>
      <c r="K287">
        <v>187.8</v>
      </c>
      <c r="L287">
        <v>159.5</v>
      </c>
      <c r="M287">
        <v>113.8</v>
      </c>
      <c r="N287">
        <v>164.5</v>
      </c>
      <c r="O287">
        <v>156.1</v>
      </c>
      <c r="P287">
        <v>164.3</v>
      </c>
      <c r="Q287">
        <v>159.6</v>
      </c>
      <c r="R287">
        <v>184.6</v>
      </c>
      <c r="S287">
        <v>157.5</v>
      </c>
      <c r="T287">
        <v>152.4</v>
      </c>
      <c r="U287">
        <v>156.80000000000001</v>
      </c>
      <c r="V287">
        <v>157.69999999999999</v>
      </c>
      <c r="W287">
        <v>150.9</v>
      </c>
      <c r="X287">
        <v>153.9</v>
      </c>
      <c r="Y287">
        <v>162.5</v>
      </c>
      <c r="Z287">
        <v>147.5</v>
      </c>
      <c r="AA287">
        <v>155.1</v>
      </c>
      <c r="AB287">
        <v>163.5</v>
      </c>
      <c r="AC287">
        <v>156.19999999999999</v>
      </c>
      <c r="AD287">
        <v>155.9</v>
      </c>
      <c r="AE287">
        <v>158.5</v>
      </c>
      <c r="AF287">
        <f t="shared" si="8"/>
        <v>158.84166666666664</v>
      </c>
      <c r="AG287">
        <v>184.6</v>
      </c>
      <c r="AH287">
        <f>AVERAGE(Table1[[#This Row],[Clothing]:[Footwear]])</f>
        <v>154.94999999999999</v>
      </c>
      <c r="AI287">
        <v>150.9</v>
      </c>
      <c r="AJ287">
        <v>153.9</v>
      </c>
      <c r="AK287">
        <v>147.5</v>
      </c>
      <c r="AL287">
        <v>155.1</v>
      </c>
      <c r="AM287" t="str">
        <f t="shared" si="9"/>
        <v>Post-COVID</v>
      </c>
    </row>
    <row r="288" spans="1:39" x14ac:dyDescent="0.35">
      <c r="A288" t="s">
        <v>33</v>
      </c>
      <c r="B288">
        <v>2021</v>
      </c>
      <c r="C288" t="s">
        <v>31</v>
      </c>
      <c r="D288" s="4">
        <f>DATE(B288,MATCH(C288,{"January","February","March","April","May","June","July","August","September","October","November","December"},0),1)</f>
        <v>44197</v>
      </c>
      <c r="E288">
        <v>148</v>
      </c>
      <c r="F288">
        <v>194.8</v>
      </c>
      <c r="G288">
        <v>178.4</v>
      </c>
      <c r="H288">
        <v>154.4</v>
      </c>
      <c r="I288">
        <v>144.1</v>
      </c>
      <c r="J288">
        <v>152.6</v>
      </c>
      <c r="K288">
        <v>206.8</v>
      </c>
      <c r="L288">
        <v>162.1</v>
      </c>
      <c r="M288">
        <v>116.3</v>
      </c>
      <c r="N288">
        <v>163</v>
      </c>
      <c r="O288">
        <v>145.9</v>
      </c>
      <c r="P288">
        <v>167.2</v>
      </c>
      <c r="Q288">
        <v>163.4</v>
      </c>
      <c r="R288">
        <v>191.8</v>
      </c>
      <c r="S288">
        <v>152.5</v>
      </c>
      <c r="T288">
        <v>137.30000000000001</v>
      </c>
      <c r="U288">
        <v>150.19999999999999</v>
      </c>
      <c r="V288">
        <v>157.69999999999999</v>
      </c>
      <c r="W288">
        <v>142.9</v>
      </c>
      <c r="X288">
        <v>145.69999999999999</v>
      </c>
      <c r="Y288">
        <v>154.1</v>
      </c>
      <c r="Z288">
        <v>136.9</v>
      </c>
      <c r="AA288">
        <v>145.4</v>
      </c>
      <c r="AB288">
        <v>156.1</v>
      </c>
      <c r="AC288">
        <v>157.69999999999999</v>
      </c>
      <c r="AD288">
        <v>147.6</v>
      </c>
      <c r="AE288">
        <v>156</v>
      </c>
      <c r="AF288">
        <f t="shared" si="8"/>
        <v>161.13333333333335</v>
      </c>
      <c r="AG288">
        <v>191.8</v>
      </c>
      <c r="AH288">
        <f>AVERAGE(Table1[[#This Row],[Clothing]:[Footwear]])</f>
        <v>144.9</v>
      </c>
      <c r="AI288">
        <v>142.9</v>
      </c>
      <c r="AJ288">
        <v>145.69999999999999</v>
      </c>
      <c r="AK288">
        <v>136.9</v>
      </c>
      <c r="AL288">
        <v>145.4</v>
      </c>
      <c r="AM288" t="str">
        <f t="shared" si="9"/>
        <v>Post-COVID</v>
      </c>
    </row>
    <row r="289" spans="1:39" x14ac:dyDescent="0.35">
      <c r="A289" t="s">
        <v>34</v>
      </c>
      <c r="B289">
        <v>2021</v>
      </c>
      <c r="C289" t="s">
        <v>31</v>
      </c>
      <c r="D289" s="4">
        <f>DATE(B289,MATCH(C289,{"January","February","March","April","May","June","July","August","September","October","November","December"},0),1)</f>
        <v>44197</v>
      </c>
      <c r="E289">
        <v>144.9</v>
      </c>
      <c r="F289">
        <v>190.1</v>
      </c>
      <c r="G289">
        <v>175.3</v>
      </c>
      <c r="H289">
        <v>154.1</v>
      </c>
      <c r="I289">
        <v>150.9</v>
      </c>
      <c r="J289">
        <v>149.6</v>
      </c>
      <c r="K289">
        <v>194.2</v>
      </c>
      <c r="L289">
        <v>160.4</v>
      </c>
      <c r="M289">
        <v>114.6</v>
      </c>
      <c r="N289">
        <v>164</v>
      </c>
      <c r="O289">
        <v>151.80000000000001</v>
      </c>
      <c r="P289">
        <v>165.6</v>
      </c>
      <c r="Q289">
        <v>161</v>
      </c>
      <c r="R289">
        <v>186.5</v>
      </c>
      <c r="S289">
        <v>155.5</v>
      </c>
      <c r="T289">
        <v>146.1</v>
      </c>
      <c r="U289">
        <v>154.19999999999999</v>
      </c>
      <c r="V289">
        <v>157.69999999999999</v>
      </c>
      <c r="W289">
        <v>147.9</v>
      </c>
      <c r="X289">
        <v>150</v>
      </c>
      <c r="Y289">
        <v>159.30000000000001</v>
      </c>
      <c r="Z289">
        <v>141.9</v>
      </c>
      <c r="AA289">
        <v>149.6</v>
      </c>
      <c r="AB289">
        <v>159.19999999999999</v>
      </c>
      <c r="AC289">
        <v>156.80000000000001</v>
      </c>
      <c r="AD289">
        <v>151.9</v>
      </c>
      <c r="AE289">
        <v>157.30000000000001</v>
      </c>
      <c r="AF289">
        <f t="shared" si="8"/>
        <v>159.62499999999997</v>
      </c>
      <c r="AG289">
        <v>186.5</v>
      </c>
      <c r="AH289">
        <f>AVERAGE(Table1[[#This Row],[Clothing]:[Footwear]])</f>
        <v>150.80000000000001</v>
      </c>
      <c r="AI289">
        <v>147.9</v>
      </c>
      <c r="AJ289">
        <v>150</v>
      </c>
      <c r="AK289">
        <v>141.9</v>
      </c>
      <c r="AL289">
        <v>149.6</v>
      </c>
      <c r="AM289" t="str">
        <f t="shared" si="9"/>
        <v>Post-COVID</v>
      </c>
    </row>
    <row r="290" spans="1:39" x14ac:dyDescent="0.35">
      <c r="A290" t="s">
        <v>30</v>
      </c>
      <c r="B290">
        <v>2021</v>
      </c>
      <c r="C290" t="s">
        <v>35</v>
      </c>
      <c r="D290" s="4">
        <f>DATE(B290,MATCH(C290,{"January","February","March","April","May","June","July","August","September","October","November","December"},0),1)</f>
        <v>44228</v>
      </c>
      <c r="E290">
        <v>142.80000000000001</v>
      </c>
      <c r="F290">
        <v>184</v>
      </c>
      <c r="G290">
        <v>168</v>
      </c>
      <c r="H290">
        <v>154.4</v>
      </c>
      <c r="I290">
        <v>163</v>
      </c>
      <c r="J290">
        <v>147.80000000000001</v>
      </c>
      <c r="K290">
        <v>149.69999999999999</v>
      </c>
      <c r="L290">
        <v>158.30000000000001</v>
      </c>
      <c r="M290">
        <v>111.8</v>
      </c>
      <c r="N290">
        <v>165</v>
      </c>
      <c r="O290">
        <v>160</v>
      </c>
      <c r="P290">
        <v>165.8</v>
      </c>
      <c r="Q290">
        <v>154.69999999999999</v>
      </c>
      <c r="R290">
        <v>186.5</v>
      </c>
      <c r="S290">
        <v>159.1</v>
      </c>
      <c r="T290">
        <v>153.9</v>
      </c>
      <c r="U290">
        <v>158.4</v>
      </c>
      <c r="V290">
        <v>159.80000000000001</v>
      </c>
      <c r="W290">
        <v>154.4</v>
      </c>
      <c r="X290">
        <v>154.80000000000001</v>
      </c>
      <c r="Y290">
        <v>164.3</v>
      </c>
      <c r="Z290">
        <v>150.19999999999999</v>
      </c>
      <c r="AA290">
        <v>157</v>
      </c>
      <c r="AB290">
        <v>163.6</v>
      </c>
      <c r="AC290">
        <v>155.19999999999999</v>
      </c>
      <c r="AD290">
        <v>157.19999999999999</v>
      </c>
      <c r="AE290">
        <v>156.69999999999999</v>
      </c>
      <c r="AF290">
        <f t="shared" si="8"/>
        <v>155.88333333333333</v>
      </c>
      <c r="AG290">
        <v>186.5</v>
      </c>
      <c r="AH290">
        <f>AVERAGE(Table1[[#This Row],[Clothing]:[Footwear]])</f>
        <v>156.5</v>
      </c>
      <c r="AI290">
        <v>154.4</v>
      </c>
      <c r="AJ290">
        <v>154.80000000000001</v>
      </c>
      <c r="AK290">
        <v>150.19999999999999</v>
      </c>
      <c r="AL290">
        <v>157</v>
      </c>
      <c r="AM290" t="str">
        <f t="shared" si="9"/>
        <v>Post-COVID</v>
      </c>
    </row>
    <row r="291" spans="1:39" x14ac:dyDescent="0.35">
      <c r="A291" t="s">
        <v>33</v>
      </c>
      <c r="B291">
        <v>2021</v>
      </c>
      <c r="C291" t="s">
        <v>35</v>
      </c>
      <c r="D291" s="4">
        <f>DATE(B291,MATCH(C291,{"January","February","March","April","May","June","July","August","September","October","November","December"},0),1)</f>
        <v>44228</v>
      </c>
      <c r="E291">
        <v>147.6</v>
      </c>
      <c r="F291">
        <v>191.2</v>
      </c>
      <c r="G291">
        <v>169.9</v>
      </c>
      <c r="H291">
        <v>155.1</v>
      </c>
      <c r="I291">
        <v>151.4</v>
      </c>
      <c r="J291">
        <v>154</v>
      </c>
      <c r="K291">
        <v>180.2</v>
      </c>
      <c r="L291">
        <v>159.80000000000001</v>
      </c>
      <c r="M291">
        <v>114.9</v>
      </c>
      <c r="N291">
        <v>162.5</v>
      </c>
      <c r="O291">
        <v>149.19999999999999</v>
      </c>
      <c r="P291">
        <v>169.4</v>
      </c>
      <c r="Q291">
        <v>160.80000000000001</v>
      </c>
      <c r="R291">
        <v>193.3</v>
      </c>
      <c r="S291">
        <v>154.19999999999999</v>
      </c>
      <c r="T291">
        <v>138.19999999999999</v>
      </c>
      <c r="U291">
        <v>151.80000000000001</v>
      </c>
      <c r="V291">
        <v>159.80000000000001</v>
      </c>
      <c r="W291">
        <v>149.1</v>
      </c>
      <c r="X291">
        <v>146.5</v>
      </c>
      <c r="Y291">
        <v>156.30000000000001</v>
      </c>
      <c r="Z291">
        <v>140.5</v>
      </c>
      <c r="AA291">
        <v>147.30000000000001</v>
      </c>
      <c r="AB291">
        <v>156.6</v>
      </c>
      <c r="AC291">
        <v>156.69999999999999</v>
      </c>
      <c r="AD291">
        <v>149.30000000000001</v>
      </c>
      <c r="AE291">
        <v>156.5</v>
      </c>
      <c r="AF291">
        <f t="shared" si="8"/>
        <v>158.76666666666668</v>
      </c>
      <c r="AG291">
        <v>193.3</v>
      </c>
      <c r="AH291">
        <f>AVERAGE(Table1[[#This Row],[Clothing]:[Footwear]])</f>
        <v>146.19999999999999</v>
      </c>
      <c r="AI291">
        <v>149.1</v>
      </c>
      <c r="AJ291">
        <v>146.5</v>
      </c>
      <c r="AK291">
        <v>140.5</v>
      </c>
      <c r="AL291">
        <v>147.30000000000001</v>
      </c>
      <c r="AM291" t="str">
        <f t="shared" si="9"/>
        <v>Post-COVID</v>
      </c>
    </row>
    <row r="292" spans="1:39" x14ac:dyDescent="0.35">
      <c r="A292" t="s">
        <v>34</v>
      </c>
      <c r="B292">
        <v>2021</v>
      </c>
      <c r="C292" t="s">
        <v>35</v>
      </c>
      <c r="D292" s="4">
        <f>DATE(B292,MATCH(C292,{"January","February","March","April","May","June","July","August","September","October","November","December"},0),1)</f>
        <v>44228</v>
      </c>
      <c r="E292">
        <v>144.30000000000001</v>
      </c>
      <c r="F292">
        <v>186.5</v>
      </c>
      <c r="G292">
        <v>168.7</v>
      </c>
      <c r="H292">
        <v>154.69999999999999</v>
      </c>
      <c r="I292">
        <v>158.69999999999999</v>
      </c>
      <c r="J292">
        <v>150.69999999999999</v>
      </c>
      <c r="K292">
        <v>160</v>
      </c>
      <c r="L292">
        <v>158.80000000000001</v>
      </c>
      <c r="M292">
        <v>112.8</v>
      </c>
      <c r="N292">
        <v>164.2</v>
      </c>
      <c r="O292">
        <v>155.5</v>
      </c>
      <c r="P292">
        <v>167.5</v>
      </c>
      <c r="Q292">
        <v>156.9</v>
      </c>
      <c r="R292">
        <v>188.3</v>
      </c>
      <c r="S292">
        <v>157.19999999999999</v>
      </c>
      <c r="T292">
        <v>147.4</v>
      </c>
      <c r="U292">
        <v>155.80000000000001</v>
      </c>
      <c r="V292">
        <v>159.80000000000001</v>
      </c>
      <c r="W292">
        <v>152.4</v>
      </c>
      <c r="X292">
        <v>150.9</v>
      </c>
      <c r="Y292">
        <v>161.30000000000001</v>
      </c>
      <c r="Z292">
        <v>145.1</v>
      </c>
      <c r="AA292">
        <v>151.5</v>
      </c>
      <c r="AB292">
        <v>159.5</v>
      </c>
      <c r="AC292">
        <v>155.80000000000001</v>
      </c>
      <c r="AD292">
        <v>153.4</v>
      </c>
      <c r="AE292">
        <v>156.6</v>
      </c>
      <c r="AF292">
        <f t="shared" si="8"/>
        <v>156.86666666666667</v>
      </c>
      <c r="AG292">
        <v>188.3</v>
      </c>
      <c r="AH292">
        <f>AVERAGE(Table1[[#This Row],[Clothing]:[Footwear]])</f>
        <v>152.30000000000001</v>
      </c>
      <c r="AI292">
        <v>152.4</v>
      </c>
      <c r="AJ292">
        <v>150.9</v>
      </c>
      <c r="AK292">
        <v>145.1</v>
      </c>
      <c r="AL292">
        <v>151.5</v>
      </c>
      <c r="AM292" t="str">
        <f t="shared" si="9"/>
        <v>Post-COVID</v>
      </c>
    </row>
    <row r="293" spans="1:39" x14ac:dyDescent="0.35">
      <c r="A293" t="s">
        <v>30</v>
      </c>
      <c r="B293">
        <v>2021</v>
      </c>
      <c r="C293" t="s">
        <v>36</v>
      </c>
      <c r="D293" s="4">
        <f>DATE(B293,MATCH(C293,{"January","February","March","April","May","June","July","August","September","October","November","December"},0),1)</f>
        <v>44256</v>
      </c>
      <c r="E293">
        <v>142.5</v>
      </c>
      <c r="F293">
        <v>189.4</v>
      </c>
      <c r="G293">
        <v>163.19999999999999</v>
      </c>
      <c r="H293">
        <v>154.5</v>
      </c>
      <c r="I293">
        <v>168.2</v>
      </c>
      <c r="J293">
        <v>150.5</v>
      </c>
      <c r="K293">
        <v>141</v>
      </c>
      <c r="L293">
        <v>159.19999999999999</v>
      </c>
      <c r="M293">
        <v>111.7</v>
      </c>
      <c r="N293">
        <v>164</v>
      </c>
      <c r="O293">
        <v>160.6</v>
      </c>
      <c r="P293">
        <v>166.4</v>
      </c>
      <c r="Q293">
        <v>154.5</v>
      </c>
      <c r="R293">
        <v>186.1</v>
      </c>
      <c r="S293">
        <v>159.6</v>
      </c>
      <c r="T293">
        <v>154.4</v>
      </c>
      <c r="U293">
        <v>158.9</v>
      </c>
      <c r="V293">
        <v>159.9</v>
      </c>
      <c r="W293">
        <v>156</v>
      </c>
      <c r="X293">
        <v>154.80000000000001</v>
      </c>
      <c r="Y293">
        <v>164.6</v>
      </c>
      <c r="Z293">
        <v>151.30000000000001</v>
      </c>
      <c r="AA293">
        <v>157.80000000000001</v>
      </c>
      <c r="AB293">
        <v>163.80000000000001</v>
      </c>
      <c r="AC293">
        <v>153.1</v>
      </c>
      <c r="AD293">
        <v>157.30000000000001</v>
      </c>
      <c r="AE293">
        <v>156.69999999999999</v>
      </c>
      <c r="AF293">
        <f t="shared" si="8"/>
        <v>155.93333333333334</v>
      </c>
      <c r="AG293">
        <v>186.1</v>
      </c>
      <c r="AH293">
        <f>AVERAGE(Table1[[#This Row],[Clothing]:[Footwear]])</f>
        <v>157</v>
      </c>
      <c r="AI293">
        <v>156</v>
      </c>
      <c r="AJ293">
        <v>154.80000000000001</v>
      </c>
      <c r="AK293">
        <v>151.30000000000001</v>
      </c>
      <c r="AL293">
        <v>157.80000000000001</v>
      </c>
      <c r="AM293" t="str">
        <f t="shared" si="9"/>
        <v>Post-COVID</v>
      </c>
    </row>
    <row r="294" spans="1:39" x14ac:dyDescent="0.35">
      <c r="A294" t="s">
        <v>33</v>
      </c>
      <c r="B294">
        <v>2021</v>
      </c>
      <c r="C294" t="s">
        <v>36</v>
      </c>
      <c r="D294" s="4">
        <f>DATE(B294,MATCH(C294,{"January","February","March","April","May","June","July","August","September","October","November","December"},0),1)</f>
        <v>44256</v>
      </c>
      <c r="E294">
        <v>147.5</v>
      </c>
      <c r="F294">
        <v>197.5</v>
      </c>
      <c r="G294">
        <v>164.7</v>
      </c>
      <c r="H294">
        <v>155.6</v>
      </c>
      <c r="I294">
        <v>156.4</v>
      </c>
      <c r="J294">
        <v>157.30000000000001</v>
      </c>
      <c r="K294">
        <v>166.1</v>
      </c>
      <c r="L294">
        <v>161.1</v>
      </c>
      <c r="M294">
        <v>114.3</v>
      </c>
      <c r="N294">
        <v>162.6</v>
      </c>
      <c r="O294">
        <v>150.69999999999999</v>
      </c>
      <c r="P294">
        <v>170.3</v>
      </c>
      <c r="Q294">
        <v>160.4</v>
      </c>
      <c r="R294">
        <v>193.5</v>
      </c>
      <c r="S294">
        <v>155.1</v>
      </c>
      <c r="T294">
        <v>138.69999999999999</v>
      </c>
      <c r="U294">
        <v>152.6</v>
      </c>
      <c r="V294">
        <v>159.9</v>
      </c>
      <c r="W294">
        <v>154.80000000000001</v>
      </c>
      <c r="X294">
        <v>147.19999999999999</v>
      </c>
      <c r="Y294">
        <v>156.9</v>
      </c>
      <c r="Z294">
        <v>141.69999999999999</v>
      </c>
      <c r="AA294">
        <v>148.6</v>
      </c>
      <c r="AB294">
        <v>157.6</v>
      </c>
      <c r="AC294">
        <v>154.9</v>
      </c>
      <c r="AD294">
        <v>150</v>
      </c>
      <c r="AE294">
        <v>156.9</v>
      </c>
      <c r="AF294">
        <f t="shared" si="8"/>
        <v>158.67499999999998</v>
      </c>
      <c r="AG294">
        <v>193.5</v>
      </c>
      <c r="AH294">
        <f>AVERAGE(Table1[[#This Row],[Clothing]:[Footwear]])</f>
        <v>146.89999999999998</v>
      </c>
      <c r="AI294">
        <v>154.80000000000001</v>
      </c>
      <c r="AJ294">
        <v>147.19999999999999</v>
      </c>
      <c r="AK294">
        <v>141.69999999999999</v>
      </c>
      <c r="AL294">
        <v>148.6</v>
      </c>
      <c r="AM294" t="str">
        <f t="shared" si="9"/>
        <v>Post-COVID</v>
      </c>
    </row>
    <row r="295" spans="1:39" x14ac:dyDescent="0.35">
      <c r="A295" t="s">
        <v>34</v>
      </c>
      <c r="B295">
        <v>2021</v>
      </c>
      <c r="C295" t="s">
        <v>36</v>
      </c>
      <c r="D295" s="4">
        <f>DATE(B295,MATCH(C295,{"January","February","March","April","May","June","July","August","September","October","November","December"},0),1)</f>
        <v>44256</v>
      </c>
      <c r="E295">
        <v>144.1</v>
      </c>
      <c r="F295">
        <v>192.2</v>
      </c>
      <c r="G295">
        <v>163.80000000000001</v>
      </c>
      <c r="H295">
        <v>154.9</v>
      </c>
      <c r="I295">
        <v>163.9</v>
      </c>
      <c r="J295">
        <v>153.69999999999999</v>
      </c>
      <c r="K295">
        <v>149.5</v>
      </c>
      <c r="L295">
        <v>159.80000000000001</v>
      </c>
      <c r="M295">
        <v>112.6</v>
      </c>
      <c r="N295">
        <v>163.5</v>
      </c>
      <c r="O295">
        <v>156.5</v>
      </c>
      <c r="P295">
        <v>168.2</v>
      </c>
      <c r="Q295">
        <v>156.69999999999999</v>
      </c>
      <c r="R295">
        <v>188.1</v>
      </c>
      <c r="S295">
        <v>157.80000000000001</v>
      </c>
      <c r="T295">
        <v>147.9</v>
      </c>
      <c r="U295">
        <v>156.4</v>
      </c>
      <c r="V295">
        <v>159.9</v>
      </c>
      <c r="W295">
        <v>155.5</v>
      </c>
      <c r="X295">
        <v>151.19999999999999</v>
      </c>
      <c r="Y295">
        <v>161.69999999999999</v>
      </c>
      <c r="Z295">
        <v>146.19999999999999</v>
      </c>
      <c r="AA295">
        <v>152.6</v>
      </c>
      <c r="AB295">
        <v>160.19999999999999</v>
      </c>
      <c r="AC295">
        <v>153.80000000000001</v>
      </c>
      <c r="AD295">
        <v>153.80000000000001</v>
      </c>
      <c r="AE295">
        <v>156.80000000000001</v>
      </c>
      <c r="AF295">
        <f t="shared" si="8"/>
        <v>156.89166666666665</v>
      </c>
      <c r="AG295">
        <v>188.1</v>
      </c>
      <c r="AH295">
        <f>AVERAGE(Table1[[#This Row],[Clothing]:[Footwear]])</f>
        <v>152.85000000000002</v>
      </c>
      <c r="AI295">
        <v>155.5</v>
      </c>
      <c r="AJ295">
        <v>151.19999999999999</v>
      </c>
      <c r="AK295">
        <v>146.19999999999999</v>
      </c>
      <c r="AL295">
        <v>152.6</v>
      </c>
      <c r="AM295" t="str">
        <f t="shared" si="9"/>
        <v>Post-COVID</v>
      </c>
    </row>
    <row r="296" spans="1:39" x14ac:dyDescent="0.35">
      <c r="A296" t="s">
        <v>30</v>
      </c>
      <c r="B296">
        <v>2021</v>
      </c>
      <c r="C296" t="s">
        <v>37</v>
      </c>
      <c r="D296" s="4">
        <f>DATE(B296,MATCH(C296,{"January","February","March","April","May","June","July","August","September","October","November","December"},0),1)</f>
        <v>44287</v>
      </c>
      <c r="E296">
        <v>142.69999999999999</v>
      </c>
      <c r="F296">
        <v>195.5</v>
      </c>
      <c r="G296">
        <v>163.4</v>
      </c>
      <c r="H296">
        <v>155</v>
      </c>
      <c r="I296">
        <v>175.2</v>
      </c>
      <c r="J296">
        <v>160.6</v>
      </c>
      <c r="K296">
        <v>135.1</v>
      </c>
      <c r="L296">
        <v>161.1</v>
      </c>
      <c r="M296">
        <v>112.2</v>
      </c>
      <c r="N296">
        <v>164.4</v>
      </c>
      <c r="O296">
        <v>161.9</v>
      </c>
      <c r="P296">
        <v>166.8</v>
      </c>
      <c r="Q296">
        <v>155.6</v>
      </c>
      <c r="R296">
        <v>186.8</v>
      </c>
      <c r="S296">
        <v>160.69999999999999</v>
      </c>
      <c r="T296">
        <v>155.1</v>
      </c>
      <c r="U296">
        <v>159.9</v>
      </c>
      <c r="V296">
        <v>161.4</v>
      </c>
      <c r="W296">
        <v>156</v>
      </c>
      <c r="X296">
        <v>155.5</v>
      </c>
      <c r="Y296">
        <v>165.3</v>
      </c>
      <c r="Z296">
        <v>151.69999999999999</v>
      </c>
      <c r="AA296">
        <v>158.6</v>
      </c>
      <c r="AB296">
        <v>164.1</v>
      </c>
      <c r="AC296">
        <v>154.6</v>
      </c>
      <c r="AD296">
        <v>158</v>
      </c>
      <c r="AE296">
        <v>157.6</v>
      </c>
      <c r="AF296">
        <f t="shared" si="8"/>
        <v>157.82500000000002</v>
      </c>
      <c r="AG296">
        <v>186.8</v>
      </c>
      <c r="AH296">
        <f>AVERAGE(Table1[[#This Row],[Clothing]:[Footwear]])</f>
        <v>157.89999999999998</v>
      </c>
      <c r="AI296">
        <v>156</v>
      </c>
      <c r="AJ296">
        <v>155.5</v>
      </c>
      <c r="AK296">
        <v>151.69999999999999</v>
      </c>
      <c r="AL296">
        <v>158.6</v>
      </c>
      <c r="AM296" t="str">
        <f t="shared" si="9"/>
        <v>Post-COVID</v>
      </c>
    </row>
    <row r="297" spans="1:39" x14ac:dyDescent="0.35">
      <c r="A297" t="s">
        <v>33</v>
      </c>
      <c r="B297">
        <v>2021</v>
      </c>
      <c r="C297" t="s">
        <v>37</v>
      </c>
      <c r="D297" s="4">
        <f>DATE(B297,MATCH(C297,{"January","February","March","April","May","June","July","August","September","October","November","December"},0),1)</f>
        <v>44287</v>
      </c>
      <c r="E297">
        <v>147.6</v>
      </c>
      <c r="F297">
        <v>202.5</v>
      </c>
      <c r="G297">
        <v>166.4</v>
      </c>
      <c r="H297">
        <v>156</v>
      </c>
      <c r="I297">
        <v>161.4</v>
      </c>
      <c r="J297">
        <v>168.8</v>
      </c>
      <c r="K297">
        <v>161.6</v>
      </c>
      <c r="L297">
        <v>162.80000000000001</v>
      </c>
      <c r="M297">
        <v>114.8</v>
      </c>
      <c r="N297">
        <v>162.80000000000001</v>
      </c>
      <c r="O297">
        <v>151.5</v>
      </c>
      <c r="P297">
        <v>171.4</v>
      </c>
      <c r="Q297">
        <v>162</v>
      </c>
      <c r="R297">
        <v>194.4</v>
      </c>
      <c r="S297">
        <v>155.9</v>
      </c>
      <c r="T297">
        <v>139.30000000000001</v>
      </c>
      <c r="U297">
        <v>153.4</v>
      </c>
      <c r="V297">
        <v>161.4</v>
      </c>
      <c r="W297">
        <v>154.9</v>
      </c>
      <c r="X297">
        <v>147.6</v>
      </c>
      <c r="Y297">
        <v>157.5</v>
      </c>
      <c r="Z297">
        <v>142.1</v>
      </c>
      <c r="AA297">
        <v>149.1</v>
      </c>
      <c r="AB297">
        <v>157.6</v>
      </c>
      <c r="AC297">
        <v>156.6</v>
      </c>
      <c r="AD297">
        <v>150.5</v>
      </c>
      <c r="AE297">
        <v>158</v>
      </c>
      <c r="AF297">
        <f t="shared" si="8"/>
        <v>160.63333333333333</v>
      </c>
      <c r="AG297">
        <v>194.4</v>
      </c>
      <c r="AH297">
        <f>AVERAGE(Table1[[#This Row],[Clothing]:[Footwear]])</f>
        <v>147.60000000000002</v>
      </c>
      <c r="AI297">
        <v>154.9</v>
      </c>
      <c r="AJ297">
        <v>147.6</v>
      </c>
      <c r="AK297">
        <v>142.1</v>
      </c>
      <c r="AL297">
        <v>149.1</v>
      </c>
      <c r="AM297" t="str">
        <f t="shared" si="9"/>
        <v>Post-COVID</v>
      </c>
    </row>
    <row r="298" spans="1:39" x14ac:dyDescent="0.35">
      <c r="A298" t="s">
        <v>34</v>
      </c>
      <c r="B298">
        <v>2021</v>
      </c>
      <c r="C298" t="s">
        <v>37</v>
      </c>
      <c r="D298" s="4">
        <f>DATE(B298,MATCH(C298,{"January","February","March","April","May","June","July","August","September","October","November","December"},0),1)</f>
        <v>44287</v>
      </c>
      <c r="E298">
        <v>144.30000000000001</v>
      </c>
      <c r="F298">
        <v>198</v>
      </c>
      <c r="G298">
        <v>164.6</v>
      </c>
      <c r="H298">
        <v>155.4</v>
      </c>
      <c r="I298">
        <v>170.1</v>
      </c>
      <c r="J298">
        <v>164.4</v>
      </c>
      <c r="K298">
        <v>144.1</v>
      </c>
      <c r="L298">
        <v>161.69999999999999</v>
      </c>
      <c r="M298">
        <v>113.1</v>
      </c>
      <c r="N298">
        <v>163.9</v>
      </c>
      <c r="O298">
        <v>157.6</v>
      </c>
      <c r="P298">
        <v>168.9</v>
      </c>
      <c r="Q298">
        <v>158</v>
      </c>
      <c r="R298">
        <v>188.8</v>
      </c>
      <c r="S298">
        <v>158.80000000000001</v>
      </c>
      <c r="T298">
        <v>148.5</v>
      </c>
      <c r="U298">
        <v>157.30000000000001</v>
      </c>
      <c r="V298">
        <v>161.4</v>
      </c>
      <c r="W298">
        <v>155.6</v>
      </c>
      <c r="X298">
        <v>151.80000000000001</v>
      </c>
      <c r="Y298">
        <v>162.30000000000001</v>
      </c>
      <c r="Z298">
        <v>146.6</v>
      </c>
      <c r="AA298">
        <v>153.19999999999999</v>
      </c>
      <c r="AB298">
        <v>160.30000000000001</v>
      </c>
      <c r="AC298">
        <v>155.4</v>
      </c>
      <c r="AD298">
        <v>154.4</v>
      </c>
      <c r="AE298">
        <v>157.80000000000001</v>
      </c>
      <c r="AF298">
        <f t="shared" si="8"/>
        <v>158.84166666666667</v>
      </c>
      <c r="AG298">
        <v>188.8</v>
      </c>
      <c r="AH298">
        <f>AVERAGE(Table1[[#This Row],[Clothing]:[Footwear]])</f>
        <v>153.65</v>
      </c>
      <c r="AI298">
        <v>155.6</v>
      </c>
      <c r="AJ298">
        <v>151.80000000000001</v>
      </c>
      <c r="AK298">
        <v>146.6</v>
      </c>
      <c r="AL298">
        <v>153.19999999999999</v>
      </c>
      <c r="AM298" t="str">
        <f t="shared" si="9"/>
        <v>Post-COVID</v>
      </c>
    </row>
    <row r="299" spans="1:39" x14ac:dyDescent="0.35">
      <c r="A299" t="s">
        <v>30</v>
      </c>
      <c r="B299">
        <v>2021</v>
      </c>
      <c r="C299" t="s">
        <v>38</v>
      </c>
      <c r="D299" s="4">
        <f>DATE(B299,MATCH(C299,{"January","February","March","April","May","June","July","August","September","October","November","December"},0),1)</f>
        <v>44317</v>
      </c>
      <c r="E299">
        <v>145.1</v>
      </c>
      <c r="F299">
        <v>198.5</v>
      </c>
      <c r="G299">
        <v>168.6</v>
      </c>
      <c r="H299">
        <v>155.80000000000001</v>
      </c>
      <c r="I299">
        <v>184.4</v>
      </c>
      <c r="J299">
        <v>162.30000000000001</v>
      </c>
      <c r="K299">
        <v>138.4</v>
      </c>
      <c r="L299">
        <v>165.1</v>
      </c>
      <c r="M299">
        <v>114.3</v>
      </c>
      <c r="N299">
        <v>169.7</v>
      </c>
      <c r="O299">
        <v>164.6</v>
      </c>
      <c r="P299">
        <v>169.8</v>
      </c>
      <c r="Q299">
        <v>158.69999999999999</v>
      </c>
      <c r="R299">
        <v>189.6</v>
      </c>
      <c r="S299">
        <v>165.3</v>
      </c>
      <c r="T299">
        <v>160.6</v>
      </c>
      <c r="U299">
        <v>164.5</v>
      </c>
      <c r="V299">
        <v>161.6</v>
      </c>
      <c r="W299">
        <v>161.69999999999999</v>
      </c>
      <c r="X299">
        <v>158.80000000000001</v>
      </c>
      <c r="Y299">
        <v>169.1</v>
      </c>
      <c r="Z299">
        <v>153.19999999999999</v>
      </c>
      <c r="AA299">
        <v>160</v>
      </c>
      <c r="AB299">
        <v>167.6</v>
      </c>
      <c r="AC299">
        <v>159.30000000000001</v>
      </c>
      <c r="AD299">
        <v>161.1</v>
      </c>
      <c r="AE299">
        <v>161.1</v>
      </c>
      <c r="AF299">
        <f t="shared" si="8"/>
        <v>161.38333333333333</v>
      </c>
      <c r="AG299">
        <v>189.6</v>
      </c>
      <c r="AH299">
        <f>AVERAGE(Table1[[#This Row],[Clothing]:[Footwear]])</f>
        <v>162.94999999999999</v>
      </c>
      <c r="AI299">
        <v>161.69999999999999</v>
      </c>
      <c r="AJ299">
        <v>158.80000000000001</v>
      </c>
      <c r="AK299">
        <v>153.19999999999999</v>
      </c>
      <c r="AL299">
        <v>160</v>
      </c>
      <c r="AM299" t="str">
        <f t="shared" si="9"/>
        <v>Post-COVID</v>
      </c>
    </row>
    <row r="300" spans="1:39" x14ac:dyDescent="0.35">
      <c r="A300" t="s">
        <v>33</v>
      </c>
      <c r="B300">
        <v>2021</v>
      </c>
      <c r="C300" t="s">
        <v>38</v>
      </c>
      <c r="D300" s="4">
        <f>DATE(B300,MATCH(C300,{"January","February","March","April","May","June","July","August","September","October","November","December"},0),1)</f>
        <v>44317</v>
      </c>
      <c r="E300">
        <v>148.80000000000001</v>
      </c>
      <c r="F300">
        <v>204.3</v>
      </c>
      <c r="G300">
        <v>173</v>
      </c>
      <c r="H300">
        <v>156.5</v>
      </c>
      <c r="I300">
        <v>168.8</v>
      </c>
      <c r="J300">
        <v>172.5</v>
      </c>
      <c r="K300">
        <v>166.5</v>
      </c>
      <c r="L300">
        <v>165.9</v>
      </c>
      <c r="M300">
        <v>115.9</v>
      </c>
      <c r="N300">
        <v>165.2</v>
      </c>
      <c r="O300">
        <v>152</v>
      </c>
      <c r="P300">
        <v>171.1</v>
      </c>
      <c r="Q300">
        <v>164.2</v>
      </c>
      <c r="R300">
        <v>198.2</v>
      </c>
      <c r="S300">
        <v>156.5</v>
      </c>
      <c r="T300">
        <v>140.19999999999999</v>
      </c>
      <c r="U300">
        <v>154.1</v>
      </c>
      <c r="V300">
        <v>161.6</v>
      </c>
      <c r="W300">
        <v>155.5</v>
      </c>
      <c r="X300">
        <v>150.1</v>
      </c>
      <c r="Y300">
        <v>160.4</v>
      </c>
      <c r="Z300">
        <v>145</v>
      </c>
      <c r="AA300">
        <v>152.6</v>
      </c>
      <c r="AB300">
        <v>156.6</v>
      </c>
      <c r="AC300">
        <v>157.5</v>
      </c>
      <c r="AD300">
        <v>152.30000000000001</v>
      </c>
      <c r="AE300">
        <v>159.5</v>
      </c>
      <c r="AF300">
        <f t="shared" si="8"/>
        <v>163.37500000000003</v>
      </c>
      <c r="AG300">
        <v>198.2</v>
      </c>
      <c r="AH300">
        <f>AVERAGE(Table1[[#This Row],[Clothing]:[Footwear]])</f>
        <v>148.35</v>
      </c>
      <c r="AI300">
        <v>155.5</v>
      </c>
      <c r="AJ300">
        <v>150.1</v>
      </c>
      <c r="AK300">
        <v>145</v>
      </c>
      <c r="AL300">
        <v>152.6</v>
      </c>
      <c r="AM300" t="str">
        <f t="shared" si="9"/>
        <v>Post-COVID</v>
      </c>
    </row>
    <row r="301" spans="1:39" x14ac:dyDescent="0.35">
      <c r="A301" t="s">
        <v>34</v>
      </c>
      <c r="B301">
        <v>2021</v>
      </c>
      <c r="C301" t="s">
        <v>38</v>
      </c>
      <c r="D301" s="4">
        <f>DATE(B301,MATCH(C301,{"January","February","March","April","May","June","July","August","September","October","November","December"},0),1)</f>
        <v>44317</v>
      </c>
      <c r="E301">
        <v>146.30000000000001</v>
      </c>
      <c r="F301">
        <v>200.5</v>
      </c>
      <c r="G301">
        <v>170.3</v>
      </c>
      <c r="H301">
        <v>156.1</v>
      </c>
      <c r="I301">
        <v>178.7</v>
      </c>
      <c r="J301">
        <v>167.1</v>
      </c>
      <c r="K301">
        <v>147.9</v>
      </c>
      <c r="L301">
        <v>165.4</v>
      </c>
      <c r="M301">
        <v>114.8</v>
      </c>
      <c r="N301">
        <v>168.2</v>
      </c>
      <c r="O301">
        <v>159.30000000000001</v>
      </c>
      <c r="P301">
        <v>170.4</v>
      </c>
      <c r="Q301">
        <v>160.69999999999999</v>
      </c>
      <c r="R301">
        <v>191.9</v>
      </c>
      <c r="S301">
        <v>161.80000000000001</v>
      </c>
      <c r="T301">
        <v>152.1</v>
      </c>
      <c r="U301">
        <v>160.4</v>
      </c>
      <c r="V301">
        <v>161.6</v>
      </c>
      <c r="W301">
        <v>159.4</v>
      </c>
      <c r="X301">
        <v>154.69999999999999</v>
      </c>
      <c r="Y301">
        <v>165.8</v>
      </c>
      <c r="Z301">
        <v>148.9</v>
      </c>
      <c r="AA301">
        <v>155.80000000000001</v>
      </c>
      <c r="AB301">
        <v>161.19999999999999</v>
      </c>
      <c r="AC301">
        <v>158.6</v>
      </c>
      <c r="AD301">
        <v>156.80000000000001</v>
      </c>
      <c r="AE301">
        <v>160.4</v>
      </c>
      <c r="AF301">
        <f t="shared" si="8"/>
        <v>162.08333333333334</v>
      </c>
      <c r="AG301">
        <v>191.9</v>
      </c>
      <c r="AH301">
        <f>AVERAGE(Table1[[#This Row],[Clothing]:[Footwear]])</f>
        <v>156.94999999999999</v>
      </c>
      <c r="AI301">
        <v>159.4</v>
      </c>
      <c r="AJ301">
        <v>154.69999999999999</v>
      </c>
      <c r="AK301">
        <v>148.9</v>
      </c>
      <c r="AL301">
        <v>155.80000000000001</v>
      </c>
      <c r="AM301" t="str">
        <f t="shared" si="9"/>
        <v>Post-COVID</v>
      </c>
    </row>
    <row r="302" spans="1:39" x14ac:dyDescent="0.35">
      <c r="A302" t="s">
        <v>30</v>
      </c>
      <c r="B302">
        <v>2021</v>
      </c>
      <c r="C302" t="s">
        <v>39</v>
      </c>
      <c r="D302" s="4">
        <f>DATE(B302,MATCH(C302,{"January","February","March","April","May","June","July","August","September","October","November","December"},0),1)</f>
        <v>44348</v>
      </c>
      <c r="E302">
        <v>145.6</v>
      </c>
      <c r="F302">
        <v>200.1</v>
      </c>
      <c r="G302">
        <v>179.3</v>
      </c>
      <c r="H302">
        <v>156.1</v>
      </c>
      <c r="I302">
        <v>190.4</v>
      </c>
      <c r="J302">
        <v>158.6</v>
      </c>
      <c r="K302">
        <v>144.69999999999999</v>
      </c>
      <c r="L302">
        <v>165.5</v>
      </c>
      <c r="M302">
        <v>114.6</v>
      </c>
      <c r="N302">
        <v>170</v>
      </c>
      <c r="O302">
        <v>165.5</v>
      </c>
      <c r="P302">
        <v>171.7</v>
      </c>
      <c r="Q302">
        <v>160.5</v>
      </c>
      <c r="R302">
        <v>189.1</v>
      </c>
      <c r="S302">
        <v>165.3</v>
      </c>
      <c r="T302">
        <v>159.9</v>
      </c>
      <c r="U302">
        <v>164.6</v>
      </c>
      <c r="V302">
        <v>160.5</v>
      </c>
      <c r="W302">
        <v>162.1</v>
      </c>
      <c r="X302">
        <v>159.19999999999999</v>
      </c>
      <c r="Y302">
        <v>169.7</v>
      </c>
      <c r="Z302">
        <v>154.19999999999999</v>
      </c>
      <c r="AA302">
        <v>160.4</v>
      </c>
      <c r="AB302">
        <v>166.8</v>
      </c>
      <c r="AC302">
        <v>159.4</v>
      </c>
      <c r="AD302">
        <v>161.5</v>
      </c>
      <c r="AE302">
        <v>162.1</v>
      </c>
      <c r="AF302">
        <f t="shared" si="8"/>
        <v>163.50833333333333</v>
      </c>
      <c r="AG302">
        <v>189.1</v>
      </c>
      <c r="AH302">
        <f>AVERAGE(Table1[[#This Row],[Clothing]:[Footwear]])</f>
        <v>162.60000000000002</v>
      </c>
      <c r="AI302">
        <v>162.1</v>
      </c>
      <c r="AJ302">
        <v>159.19999999999999</v>
      </c>
      <c r="AK302">
        <v>154.19999999999999</v>
      </c>
      <c r="AL302">
        <v>160.4</v>
      </c>
      <c r="AM302" t="str">
        <f t="shared" si="9"/>
        <v>Post-COVID</v>
      </c>
    </row>
    <row r="303" spans="1:39" x14ac:dyDescent="0.35">
      <c r="A303" t="s">
        <v>33</v>
      </c>
      <c r="B303">
        <v>2021</v>
      </c>
      <c r="C303" t="s">
        <v>39</v>
      </c>
      <c r="D303" s="4">
        <f>DATE(B303,MATCH(C303,{"January","February","March","April","May","June","July","August","September","October","November","December"},0),1)</f>
        <v>44348</v>
      </c>
      <c r="E303">
        <v>149.19999999999999</v>
      </c>
      <c r="F303">
        <v>205.5</v>
      </c>
      <c r="G303">
        <v>182.8</v>
      </c>
      <c r="H303">
        <v>156.5</v>
      </c>
      <c r="I303">
        <v>172.2</v>
      </c>
      <c r="J303">
        <v>171.5</v>
      </c>
      <c r="K303">
        <v>176.2</v>
      </c>
      <c r="L303">
        <v>166.9</v>
      </c>
      <c r="M303">
        <v>116.1</v>
      </c>
      <c r="N303">
        <v>165.5</v>
      </c>
      <c r="O303">
        <v>152.30000000000001</v>
      </c>
      <c r="P303">
        <v>173.3</v>
      </c>
      <c r="Q303">
        <v>166.2</v>
      </c>
      <c r="R303">
        <v>195.6</v>
      </c>
      <c r="S303">
        <v>157.30000000000001</v>
      </c>
      <c r="T303">
        <v>140.5</v>
      </c>
      <c r="U303">
        <v>154.80000000000001</v>
      </c>
      <c r="V303">
        <v>160.5</v>
      </c>
      <c r="W303">
        <v>156.1</v>
      </c>
      <c r="X303">
        <v>149.80000000000001</v>
      </c>
      <c r="Y303">
        <v>160.80000000000001</v>
      </c>
      <c r="Z303">
        <v>147.5</v>
      </c>
      <c r="AA303">
        <v>150.69999999999999</v>
      </c>
      <c r="AB303">
        <v>158.1</v>
      </c>
      <c r="AC303">
        <v>158</v>
      </c>
      <c r="AD303">
        <v>153.4</v>
      </c>
      <c r="AE303">
        <v>160.4</v>
      </c>
      <c r="AF303">
        <f t="shared" si="8"/>
        <v>165.66666666666666</v>
      </c>
      <c r="AG303">
        <v>195.6</v>
      </c>
      <c r="AH303">
        <f>AVERAGE(Table1[[#This Row],[Clothing]:[Footwear]])</f>
        <v>148.9</v>
      </c>
      <c r="AI303">
        <v>156.1</v>
      </c>
      <c r="AJ303">
        <v>149.80000000000001</v>
      </c>
      <c r="AK303">
        <v>147.5</v>
      </c>
      <c r="AL303">
        <v>150.69999999999999</v>
      </c>
      <c r="AM303" t="str">
        <f t="shared" si="9"/>
        <v>Post-COVID</v>
      </c>
    </row>
    <row r="304" spans="1:39" x14ac:dyDescent="0.35">
      <c r="A304" t="s">
        <v>34</v>
      </c>
      <c r="B304">
        <v>2021</v>
      </c>
      <c r="C304" t="s">
        <v>39</v>
      </c>
      <c r="D304" s="4">
        <f>DATE(B304,MATCH(C304,{"January","February","March","April","May","June","July","August","September","October","November","December"},0),1)</f>
        <v>44348</v>
      </c>
      <c r="E304">
        <v>146.69999999999999</v>
      </c>
      <c r="F304">
        <v>202</v>
      </c>
      <c r="G304">
        <v>180.7</v>
      </c>
      <c r="H304">
        <v>156.19999999999999</v>
      </c>
      <c r="I304">
        <v>183.7</v>
      </c>
      <c r="J304">
        <v>164.6</v>
      </c>
      <c r="K304">
        <v>155.4</v>
      </c>
      <c r="L304">
        <v>166</v>
      </c>
      <c r="M304">
        <v>115.1</v>
      </c>
      <c r="N304">
        <v>168.5</v>
      </c>
      <c r="O304">
        <v>160</v>
      </c>
      <c r="P304">
        <v>172.4</v>
      </c>
      <c r="Q304">
        <v>162.6</v>
      </c>
      <c r="R304">
        <v>190.8</v>
      </c>
      <c r="S304">
        <v>162.19999999999999</v>
      </c>
      <c r="T304">
        <v>151.80000000000001</v>
      </c>
      <c r="U304">
        <v>160.69999999999999</v>
      </c>
      <c r="V304">
        <v>160.5</v>
      </c>
      <c r="W304">
        <v>159.80000000000001</v>
      </c>
      <c r="X304">
        <v>154.80000000000001</v>
      </c>
      <c r="Y304">
        <v>166.3</v>
      </c>
      <c r="Z304">
        <v>150.69999999999999</v>
      </c>
      <c r="AA304">
        <v>154.9</v>
      </c>
      <c r="AB304">
        <v>161.69999999999999</v>
      </c>
      <c r="AC304">
        <v>158.80000000000001</v>
      </c>
      <c r="AD304">
        <v>157.6</v>
      </c>
      <c r="AE304">
        <v>161.30000000000001</v>
      </c>
      <c r="AF304">
        <f t="shared" si="8"/>
        <v>164.27500000000001</v>
      </c>
      <c r="AG304">
        <v>190.8</v>
      </c>
      <c r="AH304">
        <f>AVERAGE(Table1[[#This Row],[Clothing]:[Footwear]])</f>
        <v>157</v>
      </c>
      <c r="AI304">
        <v>159.80000000000001</v>
      </c>
      <c r="AJ304">
        <v>154.80000000000001</v>
      </c>
      <c r="AK304">
        <v>150.69999999999999</v>
      </c>
      <c r="AL304">
        <v>154.9</v>
      </c>
      <c r="AM304" t="str">
        <f t="shared" si="9"/>
        <v>Post-COVID</v>
      </c>
    </row>
    <row r="305" spans="1:39" x14ac:dyDescent="0.35">
      <c r="A305" t="s">
        <v>30</v>
      </c>
      <c r="B305">
        <v>2021</v>
      </c>
      <c r="C305" t="s">
        <v>40</v>
      </c>
      <c r="D305" s="4">
        <f>DATE(B305,MATCH(C305,{"January","February","March","April","May","June","July","August","September","October","November","December"},0),1)</f>
        <v>44378</v>
      </c>
      <c r="E305">
        <v>145.1</v>
      </c>
      <c r="F305">
        <v>204.5</v>
      </c>
      <c r="G305">
        <v>180.4</v>
      </c>
      <c r="H305">
        <v>157.1</v>
      </c>
      <c r="I305">
        <v>188.7</v>
      </c>
      <c r="J305">
        <v>157.69999999999999</v>
      </c>
      <c r="K305">
        <v>152.80000000000001</v>
      </c>
      <c r="L305">
        <v>163.6</v>
      </c>
      <c r="M305">
        <v>113.9</v>
      </c>
      <c r="N305">
        <v>169.7</v>
      </c>
      <c r="O305">
        <v>166.2</v>
      </c>
      <c r="P305">
        <v>171</v>
      </c>
      <c r="Q305">
        <v>161.69999999999999</v>
      </c>
      <c r="R305">
        <v>189.7</v>
      </c>
      <c r="S305">
        <v>166</v>
      </c>
      <c r="T305">
        <v>161.1</v>
      </c>
      <c r="U305">
        <v>165.3</v>
      </c>
      <c r="V305">
        <v>161.5</v>
      </c>
      <c r="W305">
        <v>162.5</v>
      </c>
      <c r="X305">
        <v>160.30000000000001</v>
      </c>
      <c r="Y305">
        <v>170.4</v>
      </c>
      <c r="Z305">
        <v>157.1</v>
      </c>
      <c r="AA305">
        <v>160.69999999999999</v>
      </c>
      <c r="AB305">
        <v>167.2</v>
      </c>
      <c r="AC305">
        <v>160.4</v>
      </c>
      <c r="AD305">
        <v>162.80000000000001</v>
      </c>
      <c r="AE305">
        <v>163.19999999999999</v>
      </c>
      <c r="AF305">
        <f t="shared" si="8"/>
        <v>164.22499999999999</v>
      </c>
      <c r="AG305">
        <v>189.7</v>
      </c>
      <c r="AH305">
        <f>AVERAGE(Table1[[#This Row],[Clothing]:[Footwear]])</f>
        <v>163.55000000000001</v>
      </c>
      <c r="AI305">
        <v>162.5</v>
      </c>
      <c r="AJ305">
        <v>160.30000000000001</v>
      </c>
      <c r="AK305">
        <v>157.1</v>
      </c>
      <c r="AL305">
        <v>160.69999999999999</v>
      </c>
      <c r="AM305" t="str">
        <f t="shared" si="9"/>
        <v>Post-COVID</v>
      </c>
    </row>
    <row r="306" spans="1:39" x14ac:dyDescent="0.35">
      <c r="A306" t="s">
        <v>33</v>
      </c>
      <c r="B306">
        <v>2021</v>
      </c>
      <c r="C306" t="s">
        <v>40</v>
      </c>
      <c r="D306" s="4">
        <f>DATE(B306,MATCH(C306,{"January","February","March","April","May","June","July","August","September","October","November","December"},0),1)</f>
        <v>44378</v>
      </c>
      <c r="E306">
        <v>149.1</v>
      </c>
      <c r="F306">
        <v>210.9</v>
      </c>
      <c r="G306">
        <v>185</v>
      </c>
      <c r="H306">
        <v>158.19999999999999</v>
      </c>
      <c r="I306">
        <v>170.6</v>
      </c>
      <c r="J306">
        <v>170.9</v>
      </c>
      <c r="K306">
        <v>186.4</v>
      </c>
      <c r="L306">
        <v>164.7</v>
      </c>
      <c r="M306">
        <v>115.7</v>
      </c>
      <c r="N306">
        <v>165.5</v>
      </c>
      <c r="O306">
        <v>153.4</v>
      </c>
      <c r="P306">
        <v>173.5</v>
      </c>
      <c r="Q306">
        <v>167.9</v>
      </c>
      <c r="R306">
        <v>195.5</v>
      </c>
      <c r="S306">
        <v>157.9</v>
      </c>
      <c r="T306">
        <v>141.9</v>
      </c>
      <c r="U306">
        <v>155.5</v>
      </c>
      <c r="V306">
        <v>161.5</v>
      </c>
      <c r="W306">
        <v>157.69999999999999</v>
      </c>
      <c r="X306">
        <v>150.69999999999999</v>
      </c>
      <c r="Y306">
        <v>161.5</v>
      </c>
      <c r="Z306">
        <v>149.5</v>
      </c>
      <c r="AA306">
        <v>151.19999999999999</v>
      </c>
      <c r="AB306">
        <v>160.30000000000001</v>
      </c>
      <c r="AC306">
        <v>159.6</v>
      </c>
      <c r="AD306">
        <v>155</v>
      </c>
      <c r="AE306">
        <v>161.80000000000001</v>
      </c>
      <c r="AF306">
        <f t="shared" si="8"/>
        <v>166.9916666666667</v>
      </c>
      <c r="AG306">
        <v>195.5</v>
      </c>
      <c r="AH306">
        <f>AVERAGE(Table1[[#This Row],[Clothing]:[Footwear]])</f>
        <v>149.9</v>
      </c>
      <c r="AI306">
        <v>157.69999999999999</v>
      </c>
      <c r="AJ306">
        <v>150.69999999999999</v>
      </c>
      <c r="AK306">
        <v>149.5</v>
      </c>
      <c r="AL306">
        <v>151.19999999999999</v>
      </c>
      <c r="AM306" t="str">
        <f t="shared" si="9"/>
        <v>Post-COVID</v>
      </c>
    </row>
    <row r="307" spans="1:39" x14ac:dyDescent="0.35">
      <c r="A307" t="s">
        <v>34</v>
      </c>
      <c r="B307">
        <v>2021</v>
      </c>
      <c r="C307" t="s">
        <v>40</v>
      </c>
      <c r="D307" s="4">
        <f>DATE(B307,MATCH(C307,{"January","February","March","April","May","June","July","August","September","October","November","December"},0),1)</f>
        <v>44378</v>
      </c>
      <c r="E307">
        <v>146.4</v>
      </c>
      <c r="F307">
        <v>206.8</v>
      </c>
      <c r="G307">
        <v>182.2</v>
      </c>
      <c r="H307">
        <v>157.5</v>
      </c>
      <c r="I307">
        <v>182.1</v>
      </c>
      <c r="J307">
        <v>163.9</v>
      </c>
      <c r="K307">
        <v>164.2</v>
      </c>
      <c r="L307">
        <v>164</v>
      </c>
      <c r="M307">
        <v>114.5</v>
      </c>
      <c r="N307">
        <v>168.3</v>
      </c>
      <c r="O307">
        <v>160.9</v>
      </c>
      <c r="P307">
        <v>172.2</v>
      </c>
      <c r="Q307">
        <v>164</v>
      </c>
      <c r="R307">
        <v>191.2</v>
      </c>
      <c r="S307">
        <v>162.80000000000001</v>
      </c>
      <c r="T307">
        <v>153.1</v>
      </c>
      <c r="U307">
        <v>161.4</v>
      </c>
      <c r="V307">
        <v>161.5</v>
      </c>
      <c r="W307">
        <v>160.69999999999999</v>
      </c>
      <c r="X307">
        <v>155.80000000000001</v>
      </c>
      <c r="Y307">
        <v>167</v>
      </c>
      <c r="Z307">
        <v>153.1</v>
      </c>
      <c r="AA307">
        <v>155.30000000000001</v>
      </c>
      <c r="AB307">
        <v>163.19999999999999</v>
      </c>
      <c r="AC307">
        <v>160.1</v>
      </c>
      <c r="AD307">
        <v>159</v>
      </c>
      <c r="AE307">
        <v>162.5</v>
      </c>
      <c r="AF307">
        <f t="shared" si="8"/>
        <v>165.25000000000003</v>
      </c>
      <c r="AG307">
        <v>191.2</v>
      </c>
      <c r="AH307">
        <f>AVERAGE(Table1[[#This Row],[Clothing]:[Footwear]])</f>
        <v>157.94999999999999</v>
      </c>
      <c r="AI307">
        <v>160.69999999999999</v>
      </c>
      <c r="AJ307">
        <v>155.80000000000001</v>
      </c>
      <c r="AK307">
        <v>153.1</v>
      </c>
      <c r="AL307">
        <v>155.30000000000001</v>
      </c>
      <c r="AM307" t="str">
        <f t="shared" si="9"/>
        <v>Post-COVID</v>
      </c>
    </row>
    <row r="308" spans="1:39" x14ac:dyDescent="0.35">
      <c r="A308" t="s">
        <v>30</v>
      </c>
      <c r="B308">
        <v>2021</v>
      </c>
      <c r="C308" t="s">
        <v>41</v>
      </c>
      <c r="D308" s="4">
        <f>DATE(B308,MATCH(C308,{"January","February","March","April","May","June","July","August","September","October","November","December"},0),1)</f>
        <v>44409</v>
      </c>
      <c r="E308">
        <v>144.9</v>
      </c>
      <c r="F308">
        <v>202.3</v>
      </c>
      <c r="G308">
        <v>176.5</v>
      </c>
      <c r="H308">
        <v>157.5</v>
      </c>
      <c r="I308">
        <v>190.9</v>
      </c>
      <c r="J308">
        <v>155.69999999999999</v>
      </c>
      <c r="K308">
        <v>153.9</v>
      </c>
      <c r="L308">
        <v>162.80000000000001</v>
      </c>
      <c r="M308">
        <v>115.2</v>
      </c>
      <c r="N308">
        <v>169.8</v>
      </c>
      <c r="O308">
        <v>167.6</v>
      </c>
      <c r="P308">
        <v>171.9</v>
      </c>
      <c r="Q308">
        <v>161.80000000000001</v>
      </c>
      <c r="R308">
        <v>190.2</v>
      </c>
      <c r="S308">
        <v>167</v>
      </c>
      <c r="T308">
        <v>162.6</v>
      </c>
      <c r="U308">
        <v>166.3</v>
      </c>
      <c r="V308">
        <v>162.1</v>
      </c>
      <c r="W308">
        <v>163.1</v>
      </c>
      <c r="X308">
        <v>160.9</v>
      </c>
      <c r="Y308">
        <v>171.1</v>
      </c>
      <c r="Z308">
        <v>157.69999999999999</v>
      </c>
      <c r="AA308">
        <v>161.1</v>
      </c>
      <c r="AB308">
        <v>167.5</v>
      </c>
      <c r="AC308">
        <v>160.30000000000001</v>
      </c>
      <c r="AD308">
        <v>163.30000000000001</v>
      </c>
      <c r="AE308">
        <v>163.6</v>
      </c>
      <c r="AF308">
        <f t="shared" si="8"/>
        <v>164.08333333333334</v>
      </c>
      <c r="AG308">
        <v>190.2</v>
      </c>
      <c r="AH308">
        <f>AVERAGE(Table1[[#This Row],[Clothing]:[Footwear]])</f>
        <v>164.8</v>
      </c>
      <c r="AI308">
        <v>163.1</v>
      </c>
      <c r="AJ308">
        <v>160.9</v>
      </c>
      <c r="AK308">
        <v>157.69999999999999</v>
      </c>
      <c r="AL308">
        <v>161.1</v>
      </c>
      <c r="AM308" t="str">
        <f t="shared" si="9"/>
        <v>Post-COVID</v>
      </c>
    </row>
    <row r="309" spans="1:39" x14ac:dyDescent="0.35">
      <c r="A309" t="s">
        <v>33</v>
      </c>
      <c r="B309">
        <v>2021</v>
      </c>
      <c r="C309" t="s">
        <v>41</v>
      </c>
      <c r="D309" s="4">
        <f>DATE(B309,MATCH(C309,{"January","February","March","April","May","June","July","August","September","October","November","December"},0),1)</f>
        <v>44409</v>
      </c>
      <c r="E309">
        <v>149.30000000000001</v>
      </c>
      <c r="F309">
        <v>207.4</v>
      </c>
      <c r="G309">
        <v>174.1</v>
      </c>
      <c r="H309">
        <v>159.19999999999999</v>
      </c>
      <c r="I309">
        <v>175</v>
      </c>
      <c r="J309">
        <v>161.30000000000001</v>
      </c>
      <c r="K309">
        <v>183.3</v>
      </c>
      <c r="L309">
        <v>164.5</v>
      </c>
      <c r="M309">
        <v>120.4</v>
      </c>
      <c r="N309">
        <v>166.2</v>
      </c>
      <c r="O309">
        <v>154.80000000000001</v>
      </c>
      <c r="P309">
        <v>175.1</v>
      </c>
      <c r="Q309">
        <v>167.3</v>
      </c>
      <c r="R309">
        <v>196.5</v>
      </c>
      <c r="S309">
        <v>159.80000000000001</v>
      </c>
      <c r="T309">
        <v>143.6</v>
      </c>
      <c r="U309">
        <v>157.30000000000001</v>
      </c>
      <c r="V309">
        <v>162.1</v>
      </c>
      <c r="W309">
        <v>160.69999999999999</v>
      </c>
      <c r="X309">
        <v>153.19999999999999</v>
      </c>
      <c r="Y309">
        <v>162.80000000000001</v>
      </c>
      <c r="Z309">
        <v>150.4</v>
      </c>
      <c r="AA309">
        <v>153.69999999999999</v>
      </c>
      <c r="AB309">
        <v>160.4</v>
      </c>
      <c r="AC309">
        <v>159.6</v>
      </c>
      <c r="AD309">
        <v>156</v>
      </c>
      <c r="AE309">
        <v>162.30000000000001</v>
      </c>
      <c r="AF309">
        <f t="shared" si="8"/>
        <v>165.88333333333333</v>
      </c>
      <c r="AG309">
        <v>196.5</v>
      </c>
      <c r="AH309">
        <f>AVERAGE(Table1[[#This Row],[Clothing]:[Footwear]])</f>
        <v>151.69999999999999</v>
      </c>
      <c r="AI309">
        <v>160.69999999999999</v>
      </c>
      <c r="AJ309">
        <v>153.19999999999999</v>
      </c>
      <c r="AK309">
        <v>150.4</v>
      </c>
      <c r="AL309">
        <v>153.69999999999999</v>
      </c>
      <c r="AM309" t="str">
        <f t="shared" si="9"/>
        <v>Post-COVID</v>
      </c>
    </row>
    <row r="310" spans="1:39" x14ac:dyDescent="0.35">
      <c r="A310" t="s">
        <v>34</v>
      </c>
      <c r="B310">
        <v>2021</v>
      </c>
      <c r="C310" t="s">
        <v>41</v>
      </c>
      <c r="D310" s="4">
        <f>DATE(B310,MATCH(C310,{"January","February","March","April","May","June","July","August","September","October","November","December"},0),1)</f>
        <v>44409</v>
      </c>
      <c r="E310">
        <v>146.6</v>
      </c>
      <c r="F310">
        <v>204</v>
      </c>
      <c r="G310">
        <v>172.8</v>
      </c>
      <c r="H310">
        <v>158.4</v>
      </c>
      <c r="I310">
        <v>188</v>
      </c>
      <c r="J310">
        <v>156.80000000000001</v>
      </c>
      <c r="K310">
        <v>162.19999999999999</v>
      </c>
      <c r="L310">
        <v>164.1</v>
      </c>
      <c r="M310">
        <v>119.7</v>
      </c>
      <c r="N310">
        <v>168.8</v>
      </c>
      <c r="O310">
        <v>162.69999999999999</v>
      </c>
      <c r="P310">
        <v>173.9</v>
      </c>
      <c r="Q310">
        <v>164</v>
      </c>
      <c r="R310">
        <v>192.1</v>
      </c>
      <c r="S310">
        <v>164.5</v>
      </c>
      <c r="T310">
        <v>155.30000000000001</v>
      </c>
      <c r="U310">
        <v>163.19999999999999</v>
      </c>
      <c r="V310">
        <v>162.1</v>
      </c>
      <c r="W310">
        <v>162.6</v>
      </c>
      <c r="X310">
        <v>157.5</v>
      </c>
      <c r="Y310">
        <v>168.4</v>
      </c>
      <c r="Z310">
        <v>154</v>
      </c>
      <c r="AA310">
        <v>157.6</v>
      </c>
      <c r="AB310">
        <v>163.80000000000001</v>
      </c>
      <c r="AC310">
        <v>160</v>
      </c>
      <c r="AD310">
        <v>160</v>
      </c>
      <c r="AE310">
        <v>163.19999999999999</v>
      </c>
      <c r="AF310">
        <f t="shared" si="8"/>
        <v>164.83333333333334</v>
      </c>
      <c r="AG310">
        <v>192.1</v>
      </c>
      <c r="AH310">
        <f>AVERAGE(Table1[[#This Row],[Clothing]:[Footwear]])</f>
        <v>159.9</v>
      </c>
      <c r="AI310">
        <v>162.6</v>
      </c>
      <c r="AJ310">
        <v>157.5</v>
      </c>
      <c r="AK310">
        <v>154</v>
      </c>
      <c r="AL310">
        <v>157.6</v>
      </c>
      <c r="AM310" t="str">
        <f t="shared" si="9"/>
        <v>Post-COVID</v>
      </c>
    </row>
    <row r="311" spans="1:39" x14ac:dyDescent="0.35">
      <c r="A311" t="s">
        <v>30</v>
      </c>
      <c r="B311">
        <v>2021</v>
      </c>
      <c r="C311" t="s">
        <v>42</v>
      </c>
      <c r="D311" s="4">
        <f>DATE(B311,MATCH(C311,{"January","February","March","April","May","June","July","August","September","October","November","December"},0),1)</f>
        <v>44440</v>
      </c>
      <c r="E311">
        <v>145.4</v>
      </c>
      <c r="F311">
        <v>202.1</v>
      </c>
      <c r="G311">
        <v>172</v>
      </c>
      <c r="H311">
        <v>158</v>
      </c>
      <c r="I311">
        <v>195.5</v>
      </c>
      <c r="J311">
        <v>152.69999999999999</v>
      </c>
      <c r="K311">
        <v>151.4</v>
      </c>
      <c r="L311">
        <v>163.9</v>
      </c>
      <c r="M311">
        <v>119.3</v>
      </c>
      <c r="N311">
        <v>170.1</v>
      </c>
      <c r="O311">
        <v>168.3</v>
      </c>
      <c r="P311">
        <v>172.8</v>
      </c>
      <c r="Q311">
        <v>162.1</v>
      </c>
      <c r="R311">
        <v>190.5</v>
      </c>
      <c r="S311">
        <v>167.7</v>
      </c>
      <c r="T311">
        <v>163.6</v>
      </c>
      <c r="U311">
        <v>167.1</v>
      </c>
      <c r="V311">
        <v>162.1</v>
      </c>
      <c r="W311">
        <v>163.69999999999999</v>
      </c>
      <c r="X311">
        <v>161.30000000000001</v>
      </c>
      <c r="Y311">
        <v>171.9</v>
      </c>
      <c r="Z311">
        <v>157.80000000000001</v>
      </c>
      <c r="AA311">
        <v>162.69999999999999</v>
      </c>
      <c r="AB311">
        <v>168.5</v>
      </c>
      <c r="AC311">
        <v>160.19999999999999</v>
      </c>
      <c r="AD311">
        <v>163.80000000000001</v>
      </c>
      <c r="AE311">
        <v>164</v>
      </c>
      <c r="AF311">
        <f t="shared" si="8"/>
        <v>164.29166666666666</v>
      </c>
      <c r="AG311">
        <v>190.5</v>
      </c>
      <c r="AH311">
        <f>AVERAGE(Table1[[#This Row],[Clothing]:[Footwear]])</f>
        <v>165.64999999999998</v>
      </c>
      <c r="AI311">
        <v>163.69999999999999</v>
      </c>
      <c r="AJ311">
        <v>161.30000000000001</v>
      </c>
      <c r="AK311">
        <v>157.80000000000001</v>
      </c>
      <c r="AL311">
        <v>162.69999999999999</v>
      </c>
      <c r="AM311" t="str">
        <f t="shared" si="9"/>
        <v>Post-COVID</v>
      </c>
    </row>
    <row r="312" spans="1:39" x14ac:dyDescent="0.35">
      <c r="A312" t="s">
        <v>33</v>
      </c>
      <c r="B312">
        <v>2021</v>
      </c>
      <c r="C312" t="s">
        <v>42</v>
      </c>
      <c r="D312" s="4">
        <f>DATE(B312,MATCH(C312,{"January","February","March","April","May","June","July","August","September","October","November","December"},0),1)</f>
        <v>44440</v>
      </c>
      <c r="E312">
        <v>149.30000000000001</v>
      </c>
      <c r="F312">
        <v>207.4</v>
      </c>
      <c r="G312">
        <v>174.1</v>
      </c>
      <c r="H312">
        <v>159.1</v>
      </c>
      <c r="I312">
        <v>175</v>
      </c>
      <c r="J312">
        <v>161.19999999999999</v>
      </c>
      <c r="K312">
        <v>183.5</v>
      </c>
      <c r="L312">
        <v>164.5</v>
      </c>
      <c r="M312">
        <v>120.4</v>
      </c>
      <c r="N312">
        <v>166.2</v>
      </c>
      <c r="O312">
        <v>154.80000000000001</v>
      </c>
      <c r="P312">
        <v>175.1</v>
      </c>
      <c r="Q312">
        <v>167.3</v>
      </c>
      <c r="R312">
        <v>196.5</v>
      </c>
      <c r="S312">
        <v>159.80000000000001</v>
      </c>
      <c r="T312">
        <v>143.6</v>
      </c>
      <c r="U312">
        <v>157.4</v>
      </c>
      <c r="V312">
        <v>162.1</v>
      </c>
      <c r="W312">
        <v>160.80000000000001</v>
      </c>
      <c r="X312">
        <v>153.30000000000001</v>
      </c>
      <c r="Y312">
        <v>162.80000000000001</v>
      </c>
      <c r="Z312">
        <v>150.5</v>
      </c>
      <c r="AA312">
        <v>153.9</v>
      </c>
      <c r="AB312">
        <v>160.30000000000001</v>
      </c>
      <c r="AC312">
        <v>159.6</v>
      </c>
      <c r="AD312">
        <v>156</v>
      </c>
      <c r="AE312">
        <v>162.30000000000001</v>
      </c>
      <c r="AF312">
        <f t="shared" si="8"/>
        <v>165.88333333333335</v>
      </c>
      <c r="AG312">
        <v>196.5</v>
      </c>
      <c r="AH312">
        <f>AVERAGE(Table1[[#This Row],[Clothing]:[Footwear]])</f>
        <v>151.69999999999999</v>
      </c>
      <c r="AI312">
        <v>160.80000000000001</v>
      </c>
      <c r="AJ312">
        <v>153.30000000000001</v>
      </c>
      <c r="AK312">
        <v>150.5</v>
      </c>
      <c r="AL312">
        <v>153.9</v>
      </c>
      <c r="AM312" t="str">
        <f t="shared" si="9"/>
        <v>Post-COVID</v>
      </c>
    </row>
    <row r="313" spans="1:39" x14ac:dyDescent="0.35">
      <c r="A313" t="s">
        <v>34</v>
      </c>
      <c r="B313">
        <v>2021</v>
      </c>
      <c r="C313" t="s">
        <v>42</v>
      </c>
      <c r="D313" s="4">
        <f>DATE(B313,MATCH(C313,{"January","February","March","April","May","June","July","August","September","October","November","December"},0),1)</f>
        <v>44440</v>
      </c>
      <c r="E313">
        <v>146.6</v>
      </c>
      <c r="F313">
        <v>204</v>
      </c>
      <c r="G313">
        <v>172.8</v>
      </c>
      <c r="H313">
        <v>158.4</v>
      </c>
      <c r="I313">
        <v>188</v>
      </c>
      <c r="J313">
        <v>156.69999999999999</v>
      </c>
      <c r="K313">
        <v>162.30000000000001</v>
      </c>
      <c r="L313">
        <v>164.1</v>
      </c>
      <c r="M313">
        <v>119.7</v>
      </c>
      <c r="N313">
        <v>168.8</v>
      </c>
      <c r="O313">
        <v>162.69999999999999</v>
      </c>
      <c r="P313">
        <v>173.9</v>
      </c>
      <c r="Q313">
        <v>164</v>
      </c>
      <c r="R313">
        <v>192.1</v>
      </c>
      <c r="S313">
        <v>164.6</v>
      </c>
      <c r="T313">
        <v>155.30000000000001</v>
      </c>
      <c r="U313">
        <v>163.30000000000001</v>
      </c>
      <c r="V313">
        <v>162.1</v>
      </c>
      <c r="W313">
        <v>162.6</v>
      </c>
      <c r="X313">
        <v>157.5</v>
      </c>
      <c r="Y313">
        <v>168.4</v>
      </c>
      <c r="Z313">
        <v>154</v>
      </c>
      <c r="AA313">
        <v>157.69999999999999</v>
      </c>
      <c r="AB313">
        <v>163.69999999999999</v>
      </c>
      <c r="AC313">
        <v>160</v>
      </c>
      <c r="AD313">
        <v>160</v>
      </c>
      <c r="AE313">
        <v>163.19999999999999</v>
      </c>
      <c r="AF313">
        <f t="shared" si="8"/>
        <v>164.83333333333334</v>
      </c>
      <c r="AG313">
        <v>192.1</v>
      </c>
      <c r="AH313">
        <f>AVERAGE(Table1[[#This Row],[Clothing]:[Footwear]])</f>
        <v>159.94999999999999</v>
      </c>
      <c r="AI313">
        <v>162.6</v>
      </c>
      <c r="AJ313">
        <v>157.5</v>
      </c>
      <c r="AK313">
        <v>154</v>
      </c>
      <c r="AL313">
        <v>157.69999999999999</v>
      </c>
      <c r="AM313" t="str">
        <f t="shared" si="9"/>
        <v>Post-COVID</v>
      </c>
    </row>
    <row r="314" spans="1:39" x14ac:dyDescent="0.35">
      <c r="A314" t="s">
        <v>30</v>
      </c>
      <c r="B314">
        <v>2021</v>
      </c>
      <c r="C314" t="s">
        <v>43</v>
      </c>
      <c r="D314" s="4">
        <f>DATE(B314,MATCH(C314,{"January","February","March","April","May","June","July","August","September","October","November","December"},0),1)</f>
        <v>44470</v>
      </c>
      <c r="E314">
        <v>146.1</v>
      </c>
      <c r="F314">
        <v>202.5</v>
      </c>
      <c r="G314">
        <v>170.1</v>
      </c>
      <c r="H314">
        <v>158.4</v>
      </c>
      <c r="I314">
        <v>198.8</v>
      </c>
      <c r="J314">
        <v>152.6</v>
      </c>
      <c r="K314">
        <v>170.4</v>
      </c>
      <c r="L314">
        <v>165.2</v>
      </c>
      <c r="M314">
        <v>121.6</v>
      </c>
      <c r="N314">
        <v>170.6</v>
      </c>
      <c r="O314">
        <v>168.8</v>
      </c>
      <c r="P314">
        <v>173.6</v>
      </c>
      <c r="Q314">
        <v>165.5</v>
      </c>
      <c r="R314">
        <v>191.2</v>
      </c>
      <c r="S314">
        <v>168.9</v>
      </c>
      <c r="T314">
        <v>164.8</v>
      </c>
      <c r="U314">
        <v>168.3</v>
      </c>
      <c r="V314">
        <v>163.6</v>
      </c>
      <c r="W314">
        <v>165.5</v>
      </c>
      <c r="X314">
        <v>162</v>
      </c>
      <c r="Y314">
        <v>172.5</v>
      </c>
      <c r="Z314">
        <v>159.5</v>
      </c>
      <c r="AA314">
        <v>163.19999999999999</v>
      </c>
      <c r="AB314">
        <v>169</v>
      </c>
      <c r="AC314">
        <v>161.1</v>
      </c>
      <c r="AD314">
        <v>164.7</v>
      </c>
      <c r="AE314">
        <v>166.3</v>
      </c>
      <c r="AF314">
        <f t="shared" si="8"/>
        <v>166.55833333333331</v>
      </c>
      <c r="AG314">
        <v>191.2</v>
      </c>
      <c r="AH314">
        <f>AVERAGE(Table1[[#This Row],[Clothing]:[Footwear]])</f>
        <v>166.85000000000002</v>
      </c>
      <c r="AI314">
        <v>165.5</v>
      </c>
      <c r="AJ314">
        <v>162</v>
      </c>
      <c r="AK314">
        <v>159.5</v>
      </c>
      <c r="AL314">
        <v>163.19999999999999</v>
      </c>
      <c r="AM314" t="str">
        <f t="shared" si="9"/>
        <v>Post-COVID</v>
      </c>
    </row>
    <row r="315" spans="1:39" x14ac:dyDescent="0.35">
      <c r="A315" t="s">
        <v>33</v>
      </c>
      <c r="B315">
        <v>2021</v>
      </c>
      <c r="C315" t="s">
        <v>43</v>
      </c>
      <c r="D315" s="4">
        <f>DATE(B315,MATCH(C315,{"January","February","March","April","May","June","July","August","September","October","November","December"},0),1)</f>
        <v>44470</v>
      </c>
      <c r="E315">
        <v>150.1</v>
      </c>
      <c r="F315">
        <v>208.4</v>
      </c>
      <c r="G315">
        <v>173</v>
      </c>
      <c r="H315">
        <v>159.19999999999999</v>
      </c>
      <c r="I315">
        <v>176.6</v>
      </c>
      <c r="J315">
        <v>159.30000000000001</v>
      </c>
      <c r="K315">
        <v>214.4</v>
      </c>
      <c r="L315">
        <v>165.3</v>
      </c>
      <c r="M315">
        <v>122.5</v>
      </c>
      <c r="N315">
        <v>166.8</v>
      </c>
      <c r="O315">
        <v>155.4</v>
      </c>
      <c r="P315">
        <v>175.9</v>
      </c>
      <c r="Q315">
        <v>171.5</v>
      </c>
      <c r="R315">
        <v>197</v>
      </c>
      <c r="S315">
        <v>160.80000000000001</v>
      </c>
      <c r="T315">
        <v>144.4</v>
      </c>
      <c r="U315">
        <v>158.30000000000001</v>
      </c>
      <c r="V315">
        <v>163.6</v>
      </c>
      <c r="W315">
        <v>162.19999999999999</v>
      </c>
      <c r="X315">
        <v>154.30000000000001</v>
      </c>
      <c r="Y315">
        <v>163.5</v>
      </c>
      <c r="Z315">
        <v>152.19999999999999</v>
      </c>
      <c r="AA315">
        <v>155.1</v>
      </c>
      <c r="AB315">
        <v>160.30000000000001</v>
      </c>
      <c r="AC315">
        <v>160.30000000000001</v>
      </c>
      <c r="AD315">
        <v>157</v>
      </c>
      <c r="AE315">
        <v>164.6</v>
      </c>
      <c r="AF315">
        <f t="shared" si="8"/>
        <v>168.90833333333336</v>
      </c>
      <c r="AG315">
        <v>197</v>
      </c>
      <c r="AH315">
        <f>AVERAGE(Table1[[#This Row],[Clothing]:[Footwear]])</f>
        <v>152.60000000000002</v>
      </c>
      <c r="AI315">
        <v>162.19999999999999</v>
      </c>
      <c r="AJ315">
        <v>154.30000000000001</v>
      </c>
      <c r="AK315">
        <v>152.19999999999999</v>
      </c>
      <c r="AL315">
        <v>155.1</v>
      </c>
      <c r="AM315" t="str">
        <f t="shared" si="9"/>
        <v>Post-COVID</v>
      </c>
    </row>
    <row r="316" spans="1:39" x14ac:dyDescent="0.35">
      <c r="A316" t="s">
        <v>34</v>
      </c>
      <c r="B316">
        <v>2021</v>
      </c>
      <c r="C316" t="s">
        <v>43</v>
      </c>
      <c r="D316" s="4">
        <f>DATE(B316,MATCH(C316,{"January","February","March","April","May","June","July","August","September","October","November","December"},0),1)</f>
        <v>44470</v>
      </c>
      <c r="E316">
        <v>147.4</v>
      </c>
      <c r="F316">
        <v>204.6</v>
      </c>
      <c r="G316">
        <v>171.2</v>
      </c>
      <c r="H316">
        <v>158.69999999999999</v>
      </c>
      <c r="I316">
        <v>190.6</v>
      </c>
      <c r="J316">
        <v>155.69999999999999</v>
      </c>
      <c r="K316">
        <v>185.3</v>
      </c>
      <c r="L316">
        <v>165.2</v>
      </c>
      <c r="M316">
        <v>121.9</v>
      </c>
      <c r="N316">
        <v>169.3</v>
      </c>
      <c r="O316">
        <v>163.19999999999999</v>
      </c>
      <c r="P316">
        <v>174.7</v>
      </c>
      <c r="Q316">
        <v>167.7</v>
      </c>
      <c r="R316">
        <v>192.7</v>
      </c>
      <c r="S316">
        <v>165.7</v>
      </c>
      <c r="T316">
        <v>156.30000000000001</v>
      </c>
      <c r="U316">
        <v>164.3</v>
      </c>
      <c r="V316">
        <v>163.6</v>
      </c>
      <c r="W316">
        <v>164.2</v>
      </c>
      <c r="X316">
        <v>158.4</v>
      </c>
      <c r="Y316">
        <v>169.1</v>
      </c>
      <c r="Z316">
        <v>155.69999999999999</v>
      </c>
      <c r="AA316">
        <v>158.6</v>
      </c>
      <c r="AB316">
        <v>163.9</v>
      </c>
      <c r="AC316">
        <v>160.80000000000001</v>
      </c>
      <c r="AD316">
        <v>161</v>
      </c>
      <c r="AE316">
        <v>165.5</v>
      </c>
      <c r="AF316">
        <f t="shared" si="8"/>
        <v>167.31666666666669</v>
      </c>
      <c r="AG316">
        <v>192.7</v>
      </c>
      <c r="AH316">
        <f>AVERAGE(Table1[[#This Row],[Clothing]:[Footwear]])</f>
        <v>161</v>
      </c>
      <c r="AI316">
        <v>164.2</v>
      </c>
      <c r="AJ316">
        <v>158.4</v>
      </c>
      <c r="AK316">
        <v>155.69999999999999</v>
      </c>
      <c r="AL316">
        <v>158.6</v>
      </c>
      <c r="AM316" t="str">
        <f t="shared" si="9"/>
        <v>Post-COVID</v>
      </c>
    </row>
    <row r="317" spans="1:39" x14ac:dyDescent="0.35">
      <c r="A317" t="s">
        <v>30</v>
      </c>
      <c r="B317">
        <v>2021</v>
      </c>
      <c r="C317" t="s">
        <v>45</v>
      </c>
      <c r="D317" s="4">
        <f>DATE(B317,MATCH(C317,{"January","February","March","April","May","June","July","August","September","October","November","December"},0),1)</f>
        <v>44501</v>
      </c>
      <c r="E317">
        <v>146.9</v>
      </c>
      <c r="F317">
        <v>199.8</v>
      </c>
      <c r="G317">
        <v>171.5</v>
      </c>
      <c r="H317">
        <v>159.1</v>
      </c>
      <c r="I317">
        <v>198.4</v>
      </c>
      <c r="J317">
        <v>153.19999999999999</v>
      </c>
      <c r="K317">
        <v>183.9</v>
      </c>
      <c r="L317">
        <v>165.4</v>
      </c>
      <c r="M317">
        <v>122.1</v>
      </c>
      <c r="N317">
        <v>170.8</v>
      </c>
      <c r="O317">
        <v>169.1</v>
      </c>
      <c r="P317">
        <v>174.3</v>
      </c>
      <c r="Q317">
        <v>167.5</v>
      </c>
      <c r="R317">
        <v>191.4</v>
      </c>
      <c r="S317">
        <v>170.4</v>
      </c>
      <c r="T317">
        <v>166</v>
      </c>
      <c r="U317">
        <v>169.8</v>
      </c>
      <c r="V317">
        <v>164.2</v>
      </c>
      <c r="W317">
        <v>165.3</v>
      </c>
      <c r="X317">
        <v>162.9</v>
      </c>
      <c r="Y317">
        <v>173.4</v>
      </c>
      <c r="Z317">
        <v>158.9</v>
      </c>
      <c r="AA317">
        <v>163.80000000000001</v>
      </c>
      <c r="AB317">
        <v>169.3</v>
      </c>
      <c r="AC317">
        <v>162.4</v>
      </c>
      <c r="AD317">
        <v>165.2</v>
      </c>
      <c r="AE317">
        <v>167.6</v>
      </c>
      <c r="AF317">
        <f t="shared" si="8"/>
        <v>167.875</v>
      </c>
      <c r="AG317">
        <v>191.4</v>
      </c>
      <c r="AH317">
        <f>AVERAGE(Table1[[#This Row],[Clothing]:[Footwear]])</f>
        <v>168.2</v>
      </c>
      <c r="AI317">
        <v>165.3</v>
      </c>
      <c r="AJ317">
        <v>162.9</v>
      </c>
      <c r="AK317">
        <v>158.9</v>
      </c>
      <c r="AL317">
        <v>163.80000000000001</v>
      </c>
      <c r="AM317" t="str">
        <f t="shared" si="9"/>
        <v>Post-COVID</v>
      </c>
    </row>
    <row r="318" spans="1:39" x14ac:dyDescent="0.35">
      <c r="A318" t="s">
        <v>33</v>
      </c>
      <c r="B318">
        <v>2021</v>
      </c>
      <c r="C318" t="s">
        <v>45</v>
      </c>
      <c r="D318" s="4">
        <f>DATE(B318,MATCH(C318,{"January","February","March","April","May","June","July","August","September","October","November","December"},0),1)</f>
        <v>44501</v>
      </c>
      <c r="E318">
        <v>151</v>
      </c>
      <c r="F318">
        <v>204.9</v>
      </c>
      <c r="G318">
        <v>175.4</v>
      </c>
      <c r="H318">
        <v>159.6</v>
      </c>
      <c r="I318">
        <v>175.8</v>
      </c>
      <c r="J318">
        <v>160.30000000000001</v>
      </c>
      <c r="K318">
        <v>229.1</v>
      </c>
      <c r="L318">
        <v>165.1</v>
      </c>
      <c r="M318">
        <v>123.1</v>
      </c>
      <c r="N318">
        <v>167.2</v>
      </c>
      <c r="O318">
        <v>156.1</v>
      </c>
      <c r="P318">
        <v>176.8</v>
      </c>
      <c r="Q318">
        <v>173.5</v>
      </c>
      <c r="R318">
        <v>197</v>
      </c>
      <c r="S318">
        <v>162.30000000000001</v>
      </c>
      <c r="T318">
        <v>145.30000000000001</v>
      </c>
      <c r="U318">
        <v>159.69999999999999</v>
      </c>
      <c r="V318">
        <v>164.2</v>
      </c>
      <c r="W318">
        <v>161.6</v>
      </c>
      <c r="X318">
        <v>155.19999999999999</v>
      </c>
      <c r="Y318">
        <v>164.2</v>
      </c>
      <c r="Z318">
        <v>151.19999999999999</v>
      </c>
      <c r="AA318">
        <v>156.69999999999999</v>
      </c>
      <c r="AB318">
        <v>160.80000000000001</v>
      </c>
      <c r="AC318">
        <v>161.80000000000001</v>
      </c>
      <c r="AD318">
        <v>157.30000000000001</v>
      </c>
      <c r="AE318">
        <v>165.6</v>
      </c>
      <c r="AF318">
        <f t="shared" si="8"/>
        <v>170.36666666666665</v>
      </c>
      <c r="AG318">
        <v>197</v>
      </c>
      <c r="AH318">
        <f>AVERAGE(Table1[[#This Row],[Clothing]:[Footwear]])</f>
        <v>153.80000000000001</v>
      </c>
      <c r="AI318">
        <v>161.6</v>
      </c>
      <c r="AJ318">
        <v>155.19999999999999</v>
      </c>
      <c r="AK318">
        <v>151.19999999999999</v>
      </c>
      <c r="AL318">
        <v>156.69999999999999</v>
      </c>
      <c r="AM318" t="str">
        <f t="shared" si="9"/>
        <v>Post-COVID</v>
      </c>
    </row>
    <row r="319" spans="1:39" x14ac:dyDescent="0.35">
      <c r="A319" t="s">
        <v>34</v>
      </c>
      <c r="B319">
        <v>2021</v>
      </c>
      <c r="C319" t="s">
        <v>45</v>
      </c>
      <c r="D319" s="4">
        <f>DATE(B319,MATCH(C319,{"January","February","March","April","May","June","July","August","September","October","November","December"},0),1)</f>
        <v>44501</v>
      </c>
      <c r="E319">
        <v>148.19999999999999</v>
      </c>
      <c r="F319">
        <v>201.6</v>
      </c>
      <c r="G319">
        <v>173</v>
      </c>
      <c r="H319">
        <v>159.30000000000001</v>
      </c>
      <c r="I319">
        <v>190.1</v>
      </c>
      <c r="J319">
        <v>156.5</v>
      </c>
      <c r="K319">
        <v>199.2</v>
      </c>
      <c r="L319">
        <v>165.3</v>
      </c>
      <c r="M319">
        <v>122.4</v>
      </c>
      <c r="N319">
        <v>169.6</v>
      </c>
      <c r="O319">
        <v>163.69999999999999</v>
      </c>
      <c r="P319">
        <v>175.5</v>
      </c>
      <c r="Q319">
        <v>169.7</v>
      </c>
      <c r="R319">
        <v>192.9</v>
      </c>
      <c r="S319">
        <v>167.2</v>
      </c>
      <c r="T319">
        <v>157.4</v>
      </c>
      <c r="U319">
        <v>165.8</v>
      </c>
      <c r="V319">
        <v>164.2</v>
      </c>
      <c r="W319">
        <v>163.9</v>
      </c>
      <c r="X319">
        <v>159.30000000000001</v>
      </c>
      <c r="Y319">
        <v>169.9</v>
      </c>
      <c r="Z319">
        <v>154.80000000000001</v>
      </c>
      <c r="AA319">
        <v>159.80000000000001</v>
      </c>
      <c r="AB319">
        <v>164.3</v>
      </c>
      <c r="AC319">
        <v>162.19999999999999</v>
      </c>
      <c r="AD319">
        <v>161.4</v>
      </c>
      <c r="AE319">
        <v>166.7</v>
      </c>
      <c r="AF319">
        <f t="shared" si="8"/>
        <v>168.7</v>
      </c>
      <c r="AG319">
        <v>192.9</v>
      </c>
      <c r="AH319">
        <f>AVERAGE(Table1[[#This Row],[Clothing]:[Footwear]])</f>
        <v>162.30000000000001</v>
      </c>
      <c r="AI319">
        <v>163.9</v>
      </c>
      <c r="AJ319">
        <v>159.30000000000001</v>
      </c>
      <c r="AK319">
        <v>154.80000000000001</v>
      </c>
      <c r="AL319">
        <v>159.80000000000001</v>
      </c>
      <c r="AM319" t="str">
        <f t="shared" si="9"/>
        <v>Post-COVID</v>
      </c>
    </row>
    <row r="320" spans="1:39" x14ac:dyDescent="0.35">
      <c r="A320" t="s">
        <v>30</v>
      </c>
      <c r="B320">
        <v>2021</v>
      </c>
      <c r="C320" t="s">
        <v>46</v>
      </c>
      <c r="D320" s="4">
        <f>DATE(B320,MATCH(C320,{"January","February","March","April","May","June","July","August","September","October","November","December"},0),1)</f>
        <v>44531</v>
      </c>
      <c r="E320">
        <v>147.4</v>
      </c>
      <c r="F320">
        <v>197</v>
      </c>
      <c r="G320">
        <v>176.5</v>
      </c>
      <c r="H320">
        <v>159.80000000000001</v>
      </c>
      <c r="I320">
        <v>195.8</v>
      </c>
      <c r="J320">
        <v>152</v>
      </c>
      <c r="K320">
        <v>172.3</v>
      </c>
      <c r="L320">
        <v>164.5</v>
      </c>
      <c r="M320">
        <v>120.6</v>
      </c>
      <c r="N320">
        <v>171.7</v>
      </c>
      <c r="O320">
        <v>169.7</v>
      </c>
      <c r="P320">
        <v>175.1</v>
      </c>
      <c r="Q320">
        <v>165.8</v>
      </c>
      <c r="R320">
        <v>190.8</v>
      </c>
      <c r="S320">
        <v>171.8</v>
      </c>
      <c r="T320">
        <v>167.3</v>
      </c>
      <c r="U320">
        <v>171.2</v>
      </c>
      <c r="V320">
        <v>163.4</v>
      </c>
      <c r="W320">
        <v>165.6</v>
      </c>
      <c r="X320">
        <v>163.9</v>
      </c>
      <c r="Y320">
        <v>174</v>
      </c>
      <c r="Z320">
        <v>160.1</v>
      </c>
      <c r="AA320">
        <v>164.5</v>
      </c>
      <c r="AB320">
        <v>169.7</v>
      </c>
      <c r="AC320">
        <v>162.80000000000001</v>
      </c>
      <c r="AD320">
        <v>166</v>
      </c>
      <c r="AE320">
        <v>167</v>
      </c>
      <c r="AF320">
        <f t="shared" si="8"/>
        <v>166.86666666666665</v>
      </c>
      <c r="AG320">
        <v>190.8</v>
      </c>
      <c r="AH320">
        <f>AVERAGE(Table1[[#This Row],[Clothing]:[Footwear]])</f>
        <v>169.55</v>
      </c>
      <c r="AI320">
        <v>165.6</v>
      </c>
      <c r="AJ320">
        <v>163.9</v>
      </c>
      <c r="AK320">
        <v>160.1</v>
      </c>
      <c r="AL320">
        <v>164.5</v>
      </c>
      <c r="AM320" t="str">
        <f t="shared" si="9"/>
        <v>Post-COVID</v>
      </c>
    </row>
    <row r="321" spans="1:39" x14ac:dyDescent="0.35">
      <c r="A321" t="s">
        <v>33</v>
      </c>
      <c r="B321">
        <v>2021</v>
      </c>
      <c r="C321" t="s">
        <v>46</v>
      </c>
      <c r="D321" s="4">
        <f>DATE(B321,MATCH(C321,{"January","February","March","April","May","June","July","August","September","October","November","December"},0),1)</f>
        <v>44531</v>
      </c>
      <c r="E321">
        <v>151.6</v>
      </c>
      <c r="F321">
        <v>202.2</v>
      </c>
      <c r="G321">
        <v>180</v>
      </c>
      <c r="H321">
        <v>160</v>
      </c>
      <c r="I321">
        <v>173.5</v>
      </c>
      <c r="J321">
        <v>158.30000000000001</v>
      </c>
      <c r="K321">
        <v>219.5</v>
      </c>
      <c r="L321">
        <v>164.2</v>
      </c>
      <c r="M321">
        <v>121.9</v>
      </c>
      <c r="N321">
        <v>168.2</v>
      </c>
      <c r="O321">
        <v>156.5</v>
      </c>
      <c r="P321">
        <v>178.2</v>
      </c>
      <c r="Q321">
        <v>172.2</v>
      </c>
      <c r="R321">
        <v>196.8</v>
      </c>
      <c r="S321">
        <v>163.30000000000001</v>
      </c>
      <c r="T321">
        <v>146.69999999999999</v>
      </c>
      <c r="U321">
        <v>160.69999999999999</v>
      </c>
      <c r="V321">
        <v>163.4</v>
      </c>
      <c r="W321">
        <v>161.69999999999999</v>
      </c>
      <c r="X321">
        <v>156</v>
      </c>
      <c r="Y321">
        <v>165.1</v>
      </c>
      <c r="Z321">
        <v>151.80000000000001</v>
      </c>
      <c r="AA321">
        <v>157.6</v>
      </c>
      <c r="AB321">
        <v>160.6</v>
      </c>
      <c r="AC321">
        <v>162.4</v>
      </c>
      <c r="AD321">
        <v>157.80000000000001</v>
      </c>
      <c r="AE321">
        <v>165.2</v>
      </c>
      <c r="AF321">
        <f t="shared" si="8"/>
        <v>169.50833333333335</v>
      </c>
      <c r="AG321">
        <v>196.8</v>
      </c>
      <c r="AH321">
        <f>AVERAGE(Table1[[#This Row],[Clothing]:[Footwear]])</f>
        <v>155</v>
      </c>
      <c r="AI321">
        <v>161.69999999999999</v>
      </c>
      <c r="AJ321">
        <v>156</v>
      </c>
      <c r="AK321">
        <v>151.80000000000001</v>
      </c>
      <c r="AL321">
        <v>157.6</v>
      </c>
      <c r="AM321" t="str">
        <f t="shared" si="9"/>
        <v>Post-COVID</v>
      </c>
    </row>
    <row r="322" spans="1:39" x14ac:dyDescent="0.35">
      <c r="A322" t="s">
        <v>34</v>
      </c>
      <c r="B322">
        <v>2021</v>
      </c>
      <c r="C322" t="s">
        <v>46</v>
      </c>
      <c r="D322" s="4">
        <f>DATE(B322,MATCH(C322,{"January","February","March","April","May","June","July","August","September","October","November","December"},0),1)</f>
        <v>44531</v>
      </c>
      <c r="E322">
        <v>148.69999999999999</v>
      </c>
      <c r="F322">
        <v>198.8</v>
      </c>
      <c r="G322">
        <v>177.9</v>
      </c>
      <c r="H322">
        <v>159.9</v>
      </c>
      <c r="I322">
        <v>187.6</v>
      </c>
      <c r="J322">
        <v>154.9</v>
      </c>
      <c r="K322">
        <v>188.3</v>
      </c>
      <c r="L322">
        <v>164.4</v>
      </c>
      <c r="M322">
        <v>121</v>
      </c>
      <c r="N322">
        <v>170.5</v>
      </c>
      <c r="O322">
        <v>164.2</v>
      </c>
      <c r="P322">
        <v>176.5</v>
      </c>
      <c r="Q322">
        <v>168.2</v>
      </c>
      <c r="R322">
        <v>192.4</v>
      </c>
      <c r="S322">
        <v>168.5</v>
      </c>
      <c r="T322">
        <v>158.69999999999999</v>
      </c>
      <c r="U322">
        <v>167</v>
      </c>
      <c r="V322">
        <v>163.4</v>
      </c>
      <c r="W322">
        <v>164.1</v>
      </c>
      <c r="X322">
        <v>160.19999999999999</v>
      </c>
      <c r="Y322">
        <v>170.6</v>
      </c>
      <c r="Z322">
        <v>155.69999999999999</v>
      </c>
      <c r="AA322">
        <v>160.6</v>
      </c>
      <c r="AB322">
        <v>164.4</v>
      </c>
      <c r="AC322">
        <v>162.6</v>
      </c>
      <c r="AD322">
        <v>162</v>
      </c>
      <c r="AE322">
        <v>166.2</v>
      </c>
      <c r="AF322">
        <f t="shared" ref="AF322:AF373" si="12">AVERAGE(E322:P322)</f>
        <v>167.72499999999999</v>
      </c>
      <c r="AG322">
        <v>192.4</v>
      </c>
      <c r="AH322">
        <f>AVERAGE(Table1[[#This Row],[Clothing]:[Footwear]])</f>
        <v>163.6</v>
      </c>
      <c r="AI322">
        <v>164.1</v>
      </c>
      <c r="AJ322">
        <v>160.19999999999999</v>
      </c>
      <c r="AK322">
        <v>155.69999999999999</v>
      </c>
      <c r="AL322">
        <v>160.6</v>
      </c>
      <c r="AM322" t="str">
        <f t="shared" ref="AM322:AM373" si="13">IF(D322&lt;DATE(2020,3,1),"Pre-COVID",IF(D322=DATE(2020,3,1),"COVID Onset",IF(D322&lt;=DATE(2020,5,31),"Lockdown","Post-COVID")))</f>
        <v>Post-COVID</v>
      </c>
    </row>
    <row r="323" spans="1:39" x14ac:dyDescent="0.35">
      <c r="A323" t="s">
        <v>30</v>
      </c>
      <c r="B323">
        <v>2022</v>
      </c>
      <c r="C323" t="s">
        <v>31</v>
      </c>
      <c r="D323" s="4">
        <f>DATE(B323,MATCH(C323,{"January","February","March","April","May","June","July","August","September","October","November","December"},0),1)</f>
        <v>44562</v>
      </c>
      <c r="E323">
        <v>148.30000000000001</v>
      </c>
      <c r="F323">
        <v>196.9</v>
      </c>
      <c r="G323">
        <v>178</v>
      </c>
      <c r="H323">
        <v>160.5</v>
      </c>
      <c r="I323">
        <v>192.6</v>
      </c>
      <c r="J323">
        <v>151.19999999999999</v>
      </c>
      <c r="K323">
        <v>159.19999999999999</v>
      </c>
      <c r="L323">
        <v>164</v>
      </c>
      <c r="M323">
        <v>119.3</v>
      </c>
      <c r="N323">
        <v>173.3</v>
      </c>
      <c r="O323">
        <v>169.8</v>
      </c>
      <c r="P323">
        <v>175.8</v>
      </c>
      <c r="Q323">
        <v>164.1</v>
      </c>
      <c r="R323">
        <v>190.7</v>
      </c>
      <c r="S323">
        <v>173.2</v>
      </c>
      <c r="T323">
        <v>169.3</v>
      </c>
      <c r="U323">
        <v>172.7</v>
      </c>
      <c r="V323">
        <v>164.5</v>
      </c>
      <c r="W323">
        <v>165.8</v>
      </c>
      <c r="X323">
        <v>164.9</v>
      </c>
      <c r="Y323">
        <v>174.7</v>
      </c>
      <c r="Z323">
        <v>160.80000000000001</v>
      </c>
      <c r="AA323">
        <v>164.9</v>
      </c>
      <c r="AB323">
        <v>169.9</v>
      </c>
      <c r="AC323">
        <v>163.19999999999999</v>
      </c>
      <c r="AD323">
        <v>166.6</v>
      </c>
      <c r="AE323">
        <v>166.4</v>
      </c>
      <c r="AF323">
        <f t="shared" si="12"/>
        <v>165.74166666666665</v>
      </c>
      <c r="AG323">
        <v>190.7</v>
      </c>
      <c r="AH323">
        <f>AVERAGE(Table1[[#This Row],[Clothing]:[Footwear]])</f>
        <v>171.25</v>
      </c>
      <c r="AI323">
        <v>165.8</v>
      </c>
      <c r="AJ323">
        <v>164.9</v>
      </c>
      <c r="AK323">
        <v>160.80000000000001</v>
      </c>
      <c r="AL323">
        <v>164.9</v>
      </c>
      <c r="AM323" t="str">
        <f t="shared" si="13"/>
        <v>Post-COVID</v>
      </c>
    </row>
    <row r="324" spans="1:39" x14ac:dyDescent="0.35">
      <c r="A324" t="s">
        <v>33</v>
      </c>
      <c r="B324">
        <v>2022</v>
      </c>
      <c r="C324" t="s">
        <v>31</v>
      </c>
      <c r="D324" s="4">
        <f>DATE(B324,MATCH(C324,{"January","February","March","April","May","June","July","August","September","October","November","December"},0),1)</f>
        <v>44562</v>
      </c>
      <c r="E324">
        <v>152.19999999999999</v>
      </c>
      <c r="F324">
        <v>202.1</v>
      </c>
      <c r="G324">
        <v>180.1</v>
      </c>
      <c r="H324">
        <v>160.4</v>
      </c>
      <c r="I324">
        <v>171</v>
      </c>
      <c r="J324">
        <v>156.5</v>
      </c>
      <c r="K324">
        <v>203.6</v>
      </c>
      <c r="L324">
        <v>163.80000000000001</v>
      </c>
      <c r="M324">
        <v>121.3</v>
      </c>
      <c r="N324">
        <v>169.8</v>
      </c>
      <c r="O324">
        <v>156.6</v>
      </c>
      <c r="P324">
        <v>179</v>
      </c>
      <c r="Q324">
        <v>170.3</v>
      </c>
      <c r="R324">
        <v>196.4</v>
      </c>
      <c r="S324">
        <v>164.7</v>
      </c>
      <c r="T324">
        <v>148.5</v>
      </c>
      <c r="U324">
        <v>162.19999999999999</v>
      </c>
      <c r="V324">
        <v>164.5</v>
      </c>
      <c r="W324">
        <v>161.6</v>
      </c>
      <c r="X324">
        <v>156.80000000000001</v>
      </c>
      <c r="Y324">
        <v>166.1</v>
      </c>
      <c r="Z324">
        <v>152.69999999999999</v>
      </c>
      <c r="AA324">
        <v>158.4</v>
      </c>
      <c r="AB324">
        <v>161</v>
      </c>
      <c r="AC324">
        <v>162.80000000000001</v>
      </c>
      <c r="AD324">
        <v>158.6</v>
      </c>
      <c r="AE324">
        <v>165</v>
      </c>
      <c r="AF324">
        <f t="shared" si="12"/>
        <v>168.0333333333333</v>
      </c>
      <c r="AG324">
        <v>196.4</v>
      </c>
      <c r="AH324">
        <f>AVERAGE(Table1[[#This Row],[Clothing]:[Footwear]])</f>
        <v>156.6</v>
      </c>
      <c r="AI324">
        <v>161.6</v>
      </c>
      <c r="AJ324">
        <v>156.80000000000001</v>
      </c>
      <c r="AK324">
        <v>152.69999999999999</v>
      </c>
      <c r="AL324">
        <v>158.4</v>
      </c>
      <c r="AM324" t="str">
        <f t="shared" si="13"/>
        <v>Post-COVID</v>
      </c>
    </row>
    <row r="325" spans="1:39" x14ac:dyDescent="0.35">
      <c r="A325" t="s">
        <v>34</v>
      </c>
      <c r="B325">
        <v>2022</v>
      </c>
      <c r="C325" t="s">
        <v>31</v>
      </c>
      <c r="D325" s="4">
        <f>DATE(B325,MATCH(C325,{"January","February","March","April","May","June","July","August","September","October","November","December"},0),1)</f>
        <v>44562</v>
      </c>
      <c r="E325">
        <v>149.5</v>
      </c>
      <c r="F325">
        <v>198.7</v>
      </c>
      <c r="G325">
        <v>178.8</v>
      </c>
      <c r="H325">
        <v>160.5</v>
      </c>
      <c r="I325">
        <v>184.7</v>
      </c>
      <c r="J325">
        <v>153.69999999999999</v>
      </c>
      <c r="K325">
        <v>174.3</v>
      </c>
      <c r="L325">
        <v>163.9</v>
      </c>
      <c r="M325">
        <v>120</v>
      </c>
      <c r="N325">
        <v>172.1</v>
      </c>
      <c r="O325">
        <v>164.3</v>
      </c>
      <c r="P325">
        <v>177.3</v>
      </c>
      <c r="Q325">
        <v>166.4</v>
      </c>
      <c r="R325">
        <v>192.2</v>
      </c>
      <c r="S325">
        <v>169.9</v>
      </c>
      <c r="T325">
        <v>160.69999999999999</v>
      </c>
      <c r="U325">
        <v>168.5</v>
      </c>
      <c r="V325">
        <v>164.5</v>
      </c>
      <c r="W325">
        <v>164.2</v>
      </c>
      <c r="X325">
        <v>161.1</v>
      </c>
      <c r="Y325">
        <v>171.4</v>
      </c>
      <c r="Z325">
        <v>156.5</v>
      </c>
      <c r="AA325">
        <v>161.19999999999999</v>
      </c>
      <c r="AB325">
        <v>164.7</v>
      </c>
      <c r="AC325">
        <v>163</v>
      </c>
      <c r="AD325">
        <v>162.69999999999999</v>
      </c>
      <c r="AE325">
        <v>165.7</v>
      </c>
      <c r="AF325">
        <f t="shared" si="12"/>
        <v>166.48333333333332</v>
      </c>
      <c r="AG325">
        <v>192.2</v>
      </c>
      <c r="AH325">
        <f>AVERAGE(Table1[[#This Row],[Clothing]:[Footwear]])</f>
        <v>165.3</v>
      </c>
      <c r="AI325">
        <v>164.2</v>
      </c>
      <c r="AJ325">
        <v>161.1</v>
      </c>
      <c r="AK325">
        <v>156.5</v>
      </c>
      <c r="AL325">
        <v>161.19999999999999</v>
      </c>
      <c r="AM325" t="str">
        <f t="shared" si="13"/>
        <v>Post-COVID</v>
      </c>
    </row>
    <row r="326" spans="1:39" x14ac:dyDescent="0.35">
      <c r="A326" t="s">
        <v>30</v>
      </c>
      <c r="B326">
        <v>2022</v>
      </c>
      <c r="C326" t="s">
        <v>35</v>
      </c>
      <c r="D326" s="4">
        <f>DATE(B326,MATCH(C326,{"January","February","March","April","May","June","July","August","September","October","November","December"},0),1)</f>
        <v>44593</v>
      </c>
      <c r="E326">
        <v>148.80000000000001</v>
      </c>
      <c r="F326">
        <v>198.1</v>
      </c>
      <c r="G326">
        <v>175.5</v>
      </c>
      <c r="H326">
        <v>160.69999999999999</v>
      </c>
      <c r="I326">
        <v>192.6</v>
      </c>
      <c r="J326">
        <v>151.4</v>
      </c>
      <c r="K326">
        <v>155.19999999999999</v>
      </c>
      <c r="L326">
        <v>163.9</v>
      </c>
      <c r="M326">
        <v>118.1</v>
      </c>
      <c r="N326">
        <v>175.4</v>
      </c>
      <c r="O326">
        <v>170.5</v>
      </c>
      <c r="P326">
        <v>176.3</v>
      </c>
      <c r="Q326">
        <v>163.9</v>
      </c>
      <c r="R326">
        <v>191.5</v>
      </c>
      <c r="S326">
        <v>174.1</v>
      </c>
      <c r="T326">
        <v>171</v>
      </c>
      <c r="U326">
        <v>173.7</v>
      </c>
      <c r="V326">
        <v>165.5</v>
      </c>
      <c r="W326">
        <v>167.4</v>
      </c>
      <c r="X326">
        <v>165.7</v>
      </c>
      <c r="Y326">
        <v>175.3</v>
      </c>
      <c r="Z326">
        <v>161.19999999999999</v>
      </c>
      <c r="AA326">
        <v>165.5</v>
      </c>
      <c r="AB326">
        <v>170.3</v>
      </c>
      <c r="AC326">
        <v>164.5</v>
      </c>
      <c r="AD326">
        <v>167.3</v>
      </c>
      <c r="AE326">
        <v>166.7</v>
      </c>
      <c r="AF326">
        <f t="shared" si="12"/>
        <v>165.54166666666666</v>
      </c>
      <c r="AG326">
        <v>191.5</v>
      </c>
      <c r="AH326">
        <f>AVERAGE(Table1[[#This Row],[Clothing]:[Footwear]])</f>
        <v>172.55</v>
      </c>
      <c r="AI326">
        <v>167.4</v>
      </c>
      <c r="AJ326">
        <v>165.7</v>
      </c>
      <c r="AK326">
        <v>161.19999999999999</v>
      </c>
      <c r="AL326">
        <v>165.5</v>
      </c>
      <c r="AM326" t="str">
        <f t="shared" si="13"/>
        <v>Post-COVID</v>
      </c>
    </row>
    <row r="327" spans="1:39" x14ac:dyDescent="0.35">
      <c r="A327" t="s">
        <v>33</v>
      </c>
      <c r="B327">
        <v>2022</v>
      </c>
      <c r="C327" t="s">
        <v>35</v>
      </c>
      <c r="D327" s="4">
        <f>DATE(B327,MATCH(C327,{"January","February","March","April","May","June","July","August","September","October","November","December"},0),1)</f>
        <v>44593</v>
      </c>
      <c r="E327">
        <v>152.5</v>
      </c>
      <c r="F327">
        <v>205.2</v>
      </c>
      <c r="G327">
        <v>176.4</v>
      </c>
      <c r="H327">
        <v>160.6</v>
      </c>
      <c r="I327">
        <v>171.5</v>
      </c>
      <c r="J327">
        <v>156.4</v>
      </c>
      <c r="K327">
        <v>198</v>
      </c>
      <c r="L327">
        <v>163.19999999999999</v>
      </c>
      <c r="M327">
        <v>120.6</v>
      </c>
      <c r="N327">
        <v>172.2</v>
      </c>
      <c r="O327">
        <v>156.69999999999999</v>
      </c>
      <c r="P327">
        <v>180</v>
      </c>
      <c r="Q327">
        <v>170.2</v>
      </c>
      <c r="R327">
        <v>196.5</v>
      </c>
      <c r="S327">
        <v>165.7</v>
      </c>
      <c r="T327">
        <v>150.4</v>
      </c>
      <c r="U327">
        <v>163.4</v>
      </c>
      <c r="V327">
        <v>165.5</v>
      </c>
      <c r="W327">
        <v>163</v>
      </c>
      <c r="X327">
        <v>157.4</v>
      </c>
      <c r="Y327">
        <v>167.2</v>
      </c>
      <c r="Z327">
        <v>153.1</v>
      </c>
      <c r="AA327">
        <v>159.5</v>
      </c>
      <c r="AB327">
        <v>162</v>
      </c>
      <c r="AC327">
        <v>164.2</v>
      </c>
      <c r="AD327">
        <v>159.4</v>
      </c>
      <c r="AE327">
        <v>165.5</v>
      </c>
      <c r="AF327">
        <f t="shared" si="12"/>
        <v>167.77500000000001</v>
      </c>
      <c r="AG327">
        <v>196.5</v>
      </c>
      <c r="AH327">
        <f>AVERAGE(Table1[[#This Row],[Clothing]:[Footwear]])</f>
        <v>158.05000000000001</v>
      </c>
      <c r="AI327">
        <v>163</v>
      </c>
      <c r="AJ327">
        <v>157.4</v>
      </c>
      <c r="AK327">
        <v>153.1</v>
      </c>
      <c r="AL327">
        <v>159.5</v>
      </c>
      <c r="AM327" t="str">
        <f t="shared" si="13"/>
        <v>Post-COVID</v>
      </c>
    </row>
    <row r="328" spans="1:39" x14ac:dyDescent="0.35">
      <c r="A328" t="s">
        <v>34</v>
      </c>
      <c r="B328">
        <v>2022</v>
      </c>
      <c r="C328" t="s">
        <v>35</v>
      </c>
      <c r="D328" s="4">
        <f>DATE(B328,MATCH(C328,{"January","February","March","April","May","June","July","August","September","October","November","December"},0),1)</f>
        <v>44593</v>
      </c>
      <c r="E328">
        <v>150</v>
      </c>
      <c r="F328">
        <v>200.6</v>
      </c>
      <c r="G328">
        <v>175.8</v>
      </c>
      <c r="H328">
        <v>160.69999999999999</v>
      </c>
      <c r="I328">
        <v>184.9</v>
      </c>
      <c r="J328">
        <v>153.69999999999999</v>
      </c>
      <c r="K328">
        <v>169.7</v>
      </c>
      <c r="L328">
        <v>163.69999999999999</v>
      </c>
      <c r="M328">
        <v>118.9</v>
      </c>
      <c r="N328">
        <v>174.3</v>
      </c>
      <c r="O328">
        <v>164.7</v>
      </c>
      <c r="P328">
        <v>178</v>
      </c>
      <c r="Q328">
        <v>166.2</v>
      </c>
      <c r="R328">
        <v>192.8</v>
      </c>
      <c r="S328">
        <v>170.8</v>
      </c>
      <c r="T328">
        <v>162.4</v>
      </c>
      <c r="U328">
        <v>169.6</v>
      </c>
      <c r="V328">
        <v>165.5</v>
      </c>
      <c r="W328">
        <v>165.7</v>
      </c>
      <c r="X328">
        <v>161.80000000000001</v>
      </c>
      <c r="Y328">
        <v>172.2</v>
      </c>
      <c r="Z328">
        <v>156.9</v>
      </c>
      <c r="AA328">
        <v>162.1</v>
      </c>
      <c r="AB328">
        <v>165.4</v>
      </c>
      <c r="AC328">
        <v>164.4</v>
      </c>
      <c r="AD328">
        <v>163.5</v>
      </c>
      <c r="AE328">
        <v>166.1</v>
      </c>
      <c r="AF328">
        <f t="shared" si="12"/>
        <v>166.25000000000003</v>
      </c>
      <c r="AG328">
        <v>192.8</v>
      </c>
      <c r="AH328">
        <f>AVERAGE(Table1[[#This Row],[Clothing]:[Footwear]])</f>
        <v>166.60000000000002</v>
      </c>
      <c r="AI328">
        <v>165.7</v>
      </c>
      <c r="AJ328">
        <v>161.80000000000001</v>
      </c>
      <c r="AK328">
        <v>156.9</v>
      </c>
      <c r="AL328">
        <v>162.1</v>
      </c>
      <c r="AM328" t="str">
        <f t="shared" si="13"/>
        <v>Post-COVID</v>
      </c>
    </row>
    <row r="329" spans="1:39" x14ac:dyDescent="0.35">
      <c r="A329" t="s">
        <v>30</v>
      </c>
      <c r="B329">
        <v>2022</v>
      </c>
      <c r="C329" t="s">
        <v>36</v>
      </c>
      <c r="D329" s="4">
        <f>DATE(B329,MATCH(C329,{"January","February","March","April","May","June","July","August","September","October","November","December"},0),1)</f>
        <v>44621</v>
      </c>
      <c r="E329">
        <v>150.19999999999999</v>
      </c>
      <c r="F329">
        <v>208</v>
      </c>
      <c r="G329">
        <v>167.9</v>
      </c>
      <c r="H329">
        <v>162</v>
      </c>
      <c r="I329">
        <v>203.1</v>
      </c>
      <c r="J329">
        <v>155.9</v>
      </c>
      <c r="K329">
        <v>155.80000000000001</v>
      </c>
      <c r="L329">
        <v>164.2</v>
      </c>
      <c r="M329">
        <v>118.1</v>
      </c>
      <c r="N329">
        <v>178.7</v>
      </c>
      <c r="O329">
        <v>171.2</v>
      </c>
      <c r="P329">
        <v>177.4</v>
      </c>
      <c r="Q329">
        <v>166.6</v>
      </c>
      <c r="R329">
        <v>192.3</v>
      </c>
      <c r="S329">
        <v>175.4</v>
      </c>
      <c r="T329">
        <v>173.2</v>
      </c>
      <c r="U329">
        <v>175.1</v>
      </c>
      <c r="V329">
        <v>165.3</v>
      </c>
      <c r="W329">
        <v>168.9</v>
      </c>
      <c r="X329">
        <v>166.5</v>
      </c>
      <c r="Y329">
        <v>176</v>
      </c>
      <c r="Z329">
        <v>162</v>
      </c>
      <c r="AA329">
        <v>166.6</v>
      </c>
      <c r="AB329">
        <v>170.6</v>
      </c>
      <c r="AC329">
        <v>167.4</v>
      </c>
      <c r="AD329">
        <v>168.3</v>
      </c>
      <c r="AE329">
        <v>168.7</v>
      </c>
      <c r="AF329">
        <f t="shared" si="12"/>
        <v>167.70833333333334</v>
      </c>
      <c r="AG329">
        <v>192.3</v>
      </c>
      <c r="AH329">
        <f>AVERAGE(Table1[[#This Row],[Clothing]:[Footwear]])</f>
        <v>174.3</v>
      </c>
      <c r="AI329">
        <v>168.9</v>
      </c>
      <c r="AJ329">
        <v>166.5</v>
      </c>
      <c r="AK329">
        <v>162</v>
      </c>
      <c r="AL329">
        <v>166.6</v>
      </c>
      <c r="AM329" t="str">
        <f t="shared" si="13"/>
        <v>Post-COVID</v>
      </c>
    </row>
    <row r="330" spans="1:39" x14ac:dyDescent="0.35">
      <c r="A330" t="s">
        <v>33</v>
      </c>
      <c r="B330">
        <v>2022</v>
      </c>
      <c r="C330" t="s">
        <v>36</v>
      </c>
      <c r="D330" s="4">
        <f>DATE(B330,MATCH(C330,{"January","February","March","April","May","June","July","August","September","October","November","December"},0),1)</f>
        <v>44621</v>
      </c>
      <c r="E330">
        <v>153.69999999999999</v>
      </c>
      <c r="F330">
        <v>215.8</v>
      </c>
      <c r="G330">
        <v>167.7</v>
      </c>
      <c r="H330">
        <v>162.6</v>
      </c>
      <c r="I330">
        <v>180</v>
      </c>
      <c r="J330">
        <v>159.6</v>
      </c>
      <c r="K330">
        <v>188.4</v>
      </c>
      <c r="L330">
        <v>163.4</v>
      </c>
      <c r="M330">
        <v>120.3</v>
      </c>
      <c r="N330">
        <v>174.7</v>
      </c>
      <c r="O330">
        <v>157.1</v>
      </c>
      <c r="P330">
        <v>181.5</v>
      </c>
      <c r="Q330">
        <v>171.5</v>
      </c>
      <c r="R330">
        <v>197.5</v>
      </c>
      <c r="S330">
        <v>167.1</v>
      </c>
      <c r="T330">
        <v>152.6</v>
      </c>
      <c r="U330">
        <v>164.9</v>
      </c>
      <c r="V330">
        <v>165.3</v>
      </c>
      <c r="W330">
        <v>164.5</v>
      </c>
      <c r="X330">
        <v>158.6</v>
      </c>
      <c r="Y330">
        <v>168.2</v>
      </c>
      <c r="Z330">
        <v>154.19999999999999</v>
      </c>
      <c r="AA330">
        <v>160.80000000000001</v>
      </c>
      <c r="AB330">
        <v>162.69999999999999</v>
      </c>
      <c r="AC330">
        <v>166.8</v>
      </c>
      <c r="AD330">
        <v>160.6</v>
      </c>
      <c r="AE330">
        <v>166.5</v>
      </c>
      <c r="AF330">
        <f t="shared" si="12"/>
        <v>168.73333333333335</v>
      </c>
      <c r="AG330">
        <v>197.5</v>
      </c>
      <c r="AH330">
        <f>AVERAGE(Table1[[#This Row],[Clothing]:[Footwear]])</f>
        <v>159.85</v>
      </c>
      <c r="AI330">
        <v>164.5</v>
      </c>
      <c r="AJ330">
        <v>158.6</v>
      </c>
      <c r="AK330">
        <v>154.19999999999999</v>
      </c>
      <c r="AL330">
        <v>160.80000000000001</v>
      </c>
      <c r="AM330" t="str">
        <f t="shared" si="13"/>
        <v>Post-COVID</v>
      </c>
    </row>
    <row r="331" spans="1:39" x14ac:dyDescent="0.35">
      <c r="A331" t="s">
        <v>34</v>
      </c>
      <c r="B331">
        <v>2022</v>
      </c>
      <c r="C331" t="s">
        <v>36</v>
      </c>
      <c r="D331" s="4">
        <f>DATE(B331,MATCH(C331,{"January","February","March","April","May","June","July","August","September","October","November","December"},0),1)</f>
        <v>44621</v>
      </c>
      <c r="E331">
        <v>151.30000000000001</v>
      </c>
      <c r="F331">
        <v>210.7</v>
      </c>
      <c r="G331">
        <v>167.8</v>
      </c>
      <c r="H331">
        <v>162.19999999999999</v>
      </c>
      <c r="I331">
        <v>194.6</v>
      </c>
      <c r="J331">
        <v>157.6</v>
      </c>
      <c r="K331">
        <v>166.9</v>
      </c>
      <c r="L331">
        <v>163.9</v>
      </c>
      <c r="M331">
        <v>118.8</v>
      </c>
      <c r="N331">
        <v>177.4</v>
      </c>
      <c r="O331">
        <v>165.3</v>
      </c>
      <c r="P331">
        <v>179.3</v>
      </c>
      <c r="Q331">
        <v>168.4</v>
      </c>
      <c r="R331">
        <v>193.7</v>
      </c>
      <c r="S331">
        <v>172.1</v>
      </c>
      <c r="T331">
        <v>164.6</v>
      </c>
      <c r="U331">
        <v>171.1</v>
      </c>
      <c r="V331">
        <v>165.3</v>
      </c>
      <c r="W331">
        <v>167.2</v>
      </c>
      <c r="X331">
        <v>162.80000000000001</v>
      </c>
      <c r="Y331">
        <v>173</v>
      </c>
      <c r="Z331">
        <v>157.9</v>
      </c>
      <c r="AA331">
        <v>163.30000000000001</v>
      </c>
      <c r="AB331">
        <v>166</v>
      </c>
      <c r="AC331">
        <v>167.2</v>
      </c>
      <c r="AD331">
        <v>164.6</v>
      </c>
      <c r="AE331">
        <v>167.7</v>
      </c>
      <c r="AF331">
        <f t="shared" si="12"/>
        <v>167.98333333333335</v>
      </c>
      <c r="AG331">
        <v>193.7</v>
      </c>
      <c r="AH331">
        <f>AVERAGE(Table1[[#This Row],[Clothing]:[Footwear]])</f>
        <v>168.35</v>
      </c>
      <c r="AI331">
        <v>167.2</v>
      </c>
      <c r="AJ331">
        <v>162.80000000000001</v>
      </c>
      <c r="AK331">
        <v>157.9</v>
      </c>
      <c r="AL331">
        <v>163.30000000000001</v>
      </c>
      <c r="AM331" t="str">
        <f t="shared" si="13"/>
        <v>Post-COVID</v>
      </c>
    </row>
    <row r="332" spans="1:39" x14ac:dyDescent="0.35">
      <c r="A332" t="s">
        <v>30</v>
      </c>
      <c r="B332">
        <v>2022</v>
      </c>
      <c r="C332" t="s">
        <v>37</v>
      </c>
      <c r="D332" s="4">
        <f>DATE(B332,MATCH(C332,{"January","February","March","April","May","June","July","August","September","October","November","December"},0),1)</f>
        <v>44652</v>
      </c>
      <c r="E332">
        <v>151.80000000000001</v>
      </c>
      <c r="F332">
        <v>209.7</v>
      </c>
      <c r="G332">
        <v>164.5</v>
      </c>
      <c r="H332">
        <v>163.80000000000001</v>
      </c>
      <c r="I332">
        <v>207.4</v>
      </c>
      <c r="J332">
        <v>169.7</v>
      </c>
      <c r="K332">
        <v>153.6</v>
      </c>
      <c r="L332">
        <v>165.1</v>
      </c>
      <c r="M332">
        <v>118.2</v>
      </c>
      <c r="N332">
        <v>182.9</v>
      </c>
      <c r="O332">
        <v>172.4</v>
      </c>
      <c r="P332">
        <v>178.9</v>
      </c>
      <c r="Q332">
        <v>168.6</v>
      </c>
      <c r="R332">
        <v>192.8</v>
      </c>
      <c r="S332">
        <v>177.5</v>
      </c>
      <c r="T332">
        <v>175.1</v>
      </c>
      <c r="U332">
        <v>177.1</v>
      </c>
      <c r="V332">
        <v>167</v>
      </c>
      <c r="W332">
        <v>173.3</v>
      </c>
      <c r="X332">
        <v>167.7</v>
      </c>
      <c r="Y332">
        <v>177</v>
      </c>
      <c r="Z332">
        <v>166.2</v>
      </c>
      <c r="AA332">
        <v>167.2</v>
      </c>
      <c r="AB332">
        <v>170.9</v>
      </c>
      <c r="AC332">
        <v>169</v>
      </c>
      <c r="AD332">
        <v>170.2</v>
      </c>
      <c r="AE332">
        <v>170.8</v>
      </c>
      <c r="AF332">
        <f t="shared" si="12"/>
        <v>169.83333333333334</v>
      </c>
      <c r="AG332">
        <v>192.8</v>
      </c>
      <c r="AH332">
        <f>AVERAGE(Table1[[#This Row],[Clothing]:[Footwear]])</f>
        <v>176.3</v>
      </c>
      <c r="AI332">
        <v>173.3</v>
      </c>
      <c r="AJ332">
        <v>167.7</v>
      </c>
      <c r="AK332">
        <v>166.2</v>
      </c>
      <c r="AL332">
        <v>167.2</v>
      </c>
      <c r="AM332" t="str">
        <f t="shared" si="13"/>
        <v>Post-COVID</v>
      </c>
    </row>
    <row r="333" spans="1:39" x14ac:dyDescent="0.35">
      <c r="A333" t="s">
        <v>33</v>
      </c>
      <c r="B333">
        <v>2022</v>
      </c>
      <c r="C333" t="s">
        <v>37</v>
      </c>
      <c r="D333" s="4">
        <f>DATE(B333,MATCH(C333,{"January","February","March","April","May","June","July","August","September","October","November","December"},0),1)</f>
        <v>44652</v>
      </c>
      <c r="E333">
        <v>155.4</v>
      </c>
      <c r="F333">
        <v>215.8</v>
      </c>
      <c r="G333">
        <v>164.6</v>
      </c>
      <c r="H333">
        <v>164.2</v>
      </c>
      <c r="I333">
        <v>186</v>
      </c>
      <c r="J333">
        <v>175.9</v>
      </c>
      <c r="K333">
        <v>190.7</v>
      </c>
      <c r="L333">
        <v>164</v>
      </c>
      <c r="M333">
        <v>120.5</v>
      </c>
      <c r="N333">
        <v>178</v>
      </c>
      <c r="O333">
        <v>157.5</v>
      </c>
      <c r="P333">
        <v>183.3</v>
      </c>
      <c r="Q333">
        <v>174.5</v>
      </c>
      <c r="R333">
        <v>197.1</v>
      </c>
      <c r="S333">
        <v>168.4</v>
      </c>
      <c r="T333">
        <v>154.5</v>
      </c>
      <c r="U333">
        <v>166.3</v>
      </c>
      <c r="V333">
        <v>167</v>
      </c>
      <c r="W333">
        <v>170.5</v>
      </c>
      <c r="X333">
        <v>159.80000000000001</v>
      </c>
      <c r="Y333">
        <v>169</v>
      </c>
      <c r="Z333">
        <v>159.30000000000001</v>
      </c>
      <c r="AA333">
        <v>162.19999999999999</v>
      </c>
      <c r="AB333">
        <v>164</v>
      </c>
      <c r="AC333">
        <v>168.4</v>
      </c>
      <c r="AD333">
        <v>163.1</v>
      </c>
      <c r="AE333">
        <v>169.2</v>
      </c>
      <c r="AF333">
        <f t="shared" si="12"/>
        <v>171.32500000000002</v>
      </c>
      <c r="AG333">
        <v>197.1</v>
      </c>
      <c r="AH333">
        <f>AVERAGE(Table1[[#This Row],[Clothing]:[Footwear]])</f>
        <v>161.44999999999999</v>
      </c>
      <c r="AI333">
        <v>170.5</v>
      </c>
      <c r="AJ333">
        <v>159.80000000000001</v>
      </c>
      <c r="AK333">
        <v>159.30000000000001</v>
      </c>
      <c r="AL333">
        <v>162.19999999999999</v>
      </c>
      <c r="AM333" t="str">
        <f t="shared" si="13"/>
        <v>Post-COVID</v>
      </c>
    </row>
    <row r="334" spans="1:39" x14ac:dyDescent="0.35">
      <c r="A334" t="s">
        <v>34</v>
      </c>
      <c r="B334">
        <v>2022</v>
      </c>
      <c r="C334" t="s">
        <v>37</v>
      </c>
      <c r="D334" s="4">
        <f>DATE(B334,MATCH(C334,{"January","February","March","April","May","June","July","August","September","October","November","December"},0),1)</f>
        <v>44652</v>
      </c>
      <c r="E334">
        <v>152.9</v>
      </c>
      <c r="F334">
        <v>211.8</v>
      </c>
      <c r="G334">
        <v>164.5</v>
      </c>
      <c r="H334">
        <v>163.9</v>
      </c>
      <c r="I334">
        <v>199.5</v>
      </c>
      <c r="J334">
        <v>172.6</v>
      </c>
      <c r="K334">
        <v>166.2</v>
      </c>
      <c r="L334">
        <v>164.7</v>
      </c>
      <c r="M334">
        <v>119</v>
      </c>
      <c r="N334">
        <v>181.3</v>
      </c>
      <c r="O334">
        <v>166.2</v>
      </c>
      <c r="P334">
        <v>180.9</v>
      </c>
      <c r="Q334">
        <v>170.8</v>
      </c>
      <c r="R334">
        <v>193.9</v>
      </c>
      <c r="S334">
        <v>173.9</v>
      </c>
      <c r="T334">
        <v>166.5</v>
      </c>
      <c r="U334">
        <v>172.8</v>
      </c>
      <c r="V334">
        <v>167</v>
      </c>
      <c r="W334">
        <v>172.2</v>
      </c>
      <c r="X334">
        <v>164</v>
      </c>
      <c r="Y334">
        <v>174</v>
      </c>
      <c r="Z334">
        <v>162.6</v>
      </c>
      <c r="AA334">
        <v>164.4</v>
      </c>
      <c r="AB334">
        <v>166.9</v>
      </c>
      <c r="AC334">
        <v>168.8</v>
      </c>
      <c r="AD334">
        <v>166.8</v>
      </c>
      <c r="AE334">
        <v>170.1</v>
      </c>
      <c r="AF334">
        <f t="shared" si="12"/>
        <v>170.29166666666669</v>
      </c>
      <c r="AG334">
        <v>193.9</v>
      </c>
      <c r="AH334">
        <f>AVERAGE(Table1[[#This Row],[Clothing]:[Footwear]])</f>
        <v>170.2</v>
      </c>
      <c r="AI334">
        <v>172.2</v>
      </c>
      <c r="AJ334">
        <v>164</v>
      </c>
      <c r="AK334">
        <v>162.6</v>
      </c>
      <c r="AL334">
        <v>164.4</v>
      </c>
      <c r="AM334" t="str">
        <f t="shared" si="13"/>
        <v>Post-COVID</v>
      </c>
    </row>
    <row r="335" spans="1:39" x14ac:dyDescent="0.35">
      <c r="A335" t="s">
        <v>30</v>
      </c>
      <c r="B335">
        <v>2022</v>
      </c>
      <c r="C335" t="s">
        <v>38</v>
      </c>
      <c r="D335" s="4">
        <f>DATE(B335,MATCH(C335,{"January","February","March","April","May","June","July","August","September","October","November","December"},0),1)</f>
        <v>44682</v>
      </c>
      <c r="E335">
        <v>152.9</v>
      </c>
      <c r="F335">
        <v>214.7</v>
      </c>
      <c r="G335">
        <v>161.4</v>
      </c>
      <c r="H335">
        <v>164.6</v>
      </c>
      <c r="I335">
        <v>209.9</v>
      </c>
      <c r="J335">
        <v>168</v>
      </c>
      <c r="K335">
        <v>160.4</v>
      </c>
      <c r="L335">
        <v>165</v>
      </c>
      <c r="M335">
        <v>118.9</v>
      </c>
      <c r="N335">
        <v>186.6</v>
      </c>
      <c r="O335">
        <v>173.2</v>
      </c>
      <c r="P335">
        <v>180.4</v>
      </c>
      <c r="Q335">
        <v>170.8</v>
      </c>
      <c r="R335">
        <v>192.9</v>
      </c>
      <c r="S335">
        <v>179.3</v>
      </c>
      <c r="T335">
        <v>177.2</v>
      </c>
      <c r="U335">
        <v>179</v>
      </c>
      <c r="V335">
        <v>167.5</v>
      </c>
      <c r="W335">
        <v>175.3</v>
      </c>
      <c r="X335">
        <v>168.9</v>
      </c>
      <c r="Y335">
        <v>177.7</v>
      </c>
      <c r="Z335">
        <v>167.1</v>
      </c>
      <c r="AA335">
        <v>167.6</v>
      </c>
      <c r="AB335">
        <v>171.8</v>
      </c>
      <c r="AC335">
        <v>168.5</v>
      </c>
      <c r="AD335">
        <v>170.9</v>
      </c>
      <c r="AE335">
        <v>172.5</v>
      </c>
      <c r="AF335">
        <f t="shared" si="12"/>
        <v>171.33333333333334</v>
      </c>
      <c r="AG335">
        <v>192.9</v>
      </c>
      <c r="AH335">
        <f>AVERAGE(Table1[[#This Row],[Clothing]:[Footwear]])</f>
        <v>178.25</v>
      </c>
      <c r="AI335">
        <v>175.3</v>
      </c>
      <c r="AJ335">
        <v>168.9</v>
      </c>
      <c r="AK335">
        <v>167.1</v>
      </c>
      <c r="AL335">
        <v>167.6</v>
      </c>
      <c r="AM335" t="str">
        <f t="shared" si="13"/>
        <v>Post-COVID</v>
      </c>
    </row>
    <row r="336" spans="1:39" x14ac:dyDescent="0.35">
      <c r="A336" t="s">
        <v>33</v>
      </c>
      <c r="B336">
        <v>2022</v>
      </c>
      <c r="C336" t="s">
        <v>38</v>
      </c>
      <c r="D336" s="4">
        <f>DATE(B336,MATCH(C336,{"January","February","March","April","May","June","July","August","September","October","November","December"},0),1)</f>
        <v>44682</v>
      </c>
      <c r="E336">
        <v>156.69999999999999</v>
      </c>
      <c r="F336">
        <v>221.2</v>
      </c>
      <c r="G336">
        <v>164.1</v>
      </c>
      <c r="H336">
        <v>165.4</v>
      </c>
      <c r="I336">
        <v>189.5</v>
      </c>
      <c r="J336">
        <v>174.5</v>
      </c>
      <c r="K336">
        <v>203.2</v>
      </c>
      <c r="L336">
        <v>164.1</v>
      </c>
      <c r="M336">
        <v>121.2</v>
      </c>
      <c r="N336">
        <v>181.4</v>
      </c>
      <c r="O336">
        <v>158.5</v>
      </c>
      <c r="P336">
        <v>184.9</v>
      </c>
      <c r="Q336">
        <v>177.5</v>
      </c>
      <c r="R336">
        <v>197.5</v>
      </c>
      <c r="S336">
        <v>170</v>
      </c>
      <c r="T336">
        <v>155.9</v>
      </c>
      <c r="U336">
        <v>167.8</v>
      </c>
      <c r="V336">
        <v>167.5</v>
      </c>
      <c r="W336">
        <v>173.5</v>
      </c>
      <c r="X336">
        <v>161.1</v>
      </c>
      <c r="Y336">
        <v>170.1</v>
      </c>
      <c r="Z336">
        <v>159.4</v>
      </c>
      <c r="AA336">
        <v>163.19999999999999</v>
      </c>
      <c r="AB336">
        <v>165.2</v>
      </c>
      <c r="AC336">
        <v>168.2</v>
      </c>
      <c r="AD336">
        <v>163.80000000000001</v>
      </c>
      <c r="AE336">
        <v>170.8</v>
      </c>
      <c r="AF336">
        <f t="shared" si="12"/>
        <v>173.72500000000002</v>
      </c>
      <c r="AG336">
        <v>197.5</v>
      </c>
      <c r="AH336">
        <f>AVERAGE(Table1[[#This Row],[Clothing]:[Footwear]])</f>
        <v>162.94999999999999</v>
      </c>
      <c r="AI336">
        <v>173.5</v>
      </c>
      <c r="AJ336">
        <v>161.1</v>
      </c>
      <c r="AK336">
        <v>159.4</v>
      </c>
      <c r="AL336">
        <v>163.19999999999999</v>
      </c>
      <c r="AM336" t="str">
        <f t="shared" si="13"/>
        <v>Post-COVID</v>
      </c>
    </row>
    <row r="337" spans="1:39" x14ac:dyDescent="0.35">
      <c r="A337" t="s">
        <v>34</v>
      </c>
      <c r="B337">
        <v>2022</v>
      </c>
      <c r="C337" t="s">
        <v>38</v>
      </c>
      <c r="D337" s="4">
        <f>DATE(B337,MATCH(C337,{"January","February","March","April","May","June","July","August","September","October","November","December"},0),1)</f>
        <v>44682</v>
      </c>
      <c r="E337">
        <v>154.1</v>
      </c>
      <c r="F337">
        <v>217</v>
      </c>
      <c r="G337">
        <v>162.4</v>
      </c>
      <c r="H337">
        <v>164.9</v>
      </c>
      <c r="I337">
        <v>202.4</v>
      </c>
      <c r="J337">
        <v>171</v>
      </c>
      <c r="K337">
        <v>174.9</v>
      </c>
      <c r="L337">
        <v>164.7</v>
      </c>
      <c r="M337">
        <v>119.7</v>
      </c>
      <c r="N337">
        <v>184.9</v>
      </c>
      <c r="O337">
        <v>167.1</v>
      </c>
      <c r="P337">
        <v>182.5</v>
      </c>
      <c r="Q337">
        <v>173.3</v>
      </c>
      <c r="R337">
        <v>194.1</v>
      </c>
      <c r="S337">
        <v>175.6</v>
      </c>
      <c r="T337">
        <v>168.4</v>
      </c>
      <c r="U337">
        <v>174.6</v>
      </c>
      <c r="V337">
        <v>167.5</v>
      </c>
      <c r="W337">
        <v>174.6</v>
      </c>
      <c r="X337">
        <v>165.2</v>
      </c>
      <c r="Y337">
        <v>174.8</v>
      </c>
      <c r="Z337">
        <v>163</v>
      </c>
      <c r="AA337">
        <v>165.1</v>
      </c>
      <c r="AB337">
        <v>167.9</v>
      </c>
      <c r="AC337">
        <v>168.4</v>
      </c>
      <c r="AD337">
        <v>167.5</v>
      </c>
      <c r="AE337">
        <v>171.7</v>
      </c>
      <c r="AF337">
        <f t="shared" si="12"/>
        <v>172.13333333333335</v>
      </c>
      <c r="AG337">
        <v>194.1</v>
      </c>
      <c r="AH337">
        <f>AVERAGE(Table1[[#This Row],[Clothing]:[Footwear]])</f>
        <v>172</v>
      </c>
      <c r="AI337">
        <v>174.6</v>
      </c>
      <c r="AJ337">
        <v>165.2</v>
      </c>
      <c r="AK337">
        <v>163</v>
      </c>
      <c r="AL337">
        <v>165.1</v>
      </c>
      <c r="AM337" t="str">
        <f t="shared" si="13"/>
        <v>Post-COVID</v>
      </c>
    </row>
    <row r="338" spans="1:39" x14ac:dyDescent="0.35">
      <c r="A338" t="s">
        <v>30</v>
      </c>
      <c r="B338">
        <v>2022</v>
      </c>
      <c r="C338" t="s">
        <v>39</v>
      </c>
      <c r="D338" s="4">
        <f>DATE(B338,MATCH(C338,{"January","February","March","April","May","June","July","August","September","October","November","December"},0),1)</f>
        <v>44713</v>
      </c>
      <c r="E338">
        <v>153.80000000000001</v>
      </c>
      <c r="F338">
        <v>217.2</v>
      </c>
      <c r="G338">
        <v>169.6</v>
      </c>
      <c r="H338">
        <v>165.4</v>
      </c>
      <c r="I338">
        <v>208.1</v>
      </c>
      <c r="J338">
        <v>165.8</v>
      </c>
      <c r="K338">
        <v>167.3</v>
      </c>
      <c r="L338">
        <v>164.6</v>
      </c>
      <c r="M338">
        <v>119.1</v>
      </c>
      <c r="N338">
        <v>188.9</v>
      </c>
      <c r="O338">
        <v>174.2</v>
      </c>
      <c r="P338">
        <v>181.9</v>
      </c>
      <c r="Q338">
        <v>172.4</v>
      </c>
      <c r="R338">
        <v>192.9</v>
      </c>
      <c r="S338">
        <v>180.7</v>
      </c>
      <c r="T338">
        <v>178.7</v>
      </c>
      <c r="U338">
        <v>180.4</v>
      </c>
      <c r="V338">
        <v>166.8</v>
      </c>
      <c r="W338">
        <v>176.7</v>
      </c>
      <c r="X338">
        <v>170.3</v>
      </c>
      <c r="Y338">
        <v>178.2</v>
      </c>
      <c r="Z338">
        <v>165.5</v>
      </c>
      <c r="AA338">
        <v>168</v>
      </c>
      <c r="AB338">
        <v>172.6</v>
      </c>
      <c r="AC338">
        <v>169.5</v>
      </c>
      <c r="AD338">
        <v>171</v>
      </c>
      <c r="AE338">
        <v>173.6</v>
      </c>
      <c r="AF338">
        <f t="shared" si="12"/>
        <v>172.99166666666667</v>
      </c>
      <c r="AG338">
        <v>192.9</v>
      </c>
      <c r="AH338">
        <f>AVERAGE(Table1[[#This Row],[Clothing]:[Footwear]])</f>
        <v>179.7</v>
      </c>
      <c r="AI338">
        <v>176.7</v>
      </c>
      <c r="AJ338">
        <v>170.3</v>
      </c>
      <c r="AK338">
        <v>165.5</v>
      </c>
      <c r="AL338">
        <v>168</v>
      </c>
      <c r="AM338" t="str">
        <f t="shared" si="13"/>
        <v>Post-COVID</v>
      </c>
    </row>
    <row r="339" spans="1:39" x14ac:dyDescent="0.35">
      <c r="A339" t="s">
        <v>33</v>
      </c>
      <c r="B339">
        <v>2022</v>
      </c>
      <c r="C339" t="s">
        <v>39</v>
      </c>
      <c r="D339" s="4">
        <f>DATE(B339,MATCH(C339,{"January","February","March","April","May","June","July","August","September","October","November","December"},0),1)</f>
        <v>44713</v>
      </c>
      <c r="E339">
        <v>157.5</v>
      </c>
      <c r="F339">
        <v>223.4</v>
      </c>
      <c r="G339">
        <v>172.8</v>
      </c>
      <c r="H339">
        <v>166.4</v>
      </c>
      <c r="I339">
        <v>188.6</v>
      </c>
      <c r="J339">
        <v>174.1</v>
      </c>
      <c r="K339">
        <v>211.5</v>
      </c>
      <c r="L339">
        <v>163.6</v>
      </c>
      <c r="M339">
        <v>121.4</v>
      </c>
      <c r="N339">
        <v>183.5</v>
      </c>
      <c r="O339">
        <v>159.1</v>
      </c>
      <c r="P339">
        <v>186.3</v>
      </c>
      <c r="Q339">
        <v>179.3</v>
      </c>
      <c r="R339">
        <v>198.3</v>
      </c>
      <c r="S339">
        <v>171.6</v>
      </c>
      <c r="T339">
        <v>157.4</v>
      </c>
      <c r="U339">
        <v>169.4</v>
      </c>
      <c r="V339">
        <v>166.8</v>
      </c>
      <c r="W339">
        <v>174.9</v>
      </c>
      <c r="X339">
        <v>162.1</v>
      </c>
      <c r="Y339">
        <v>170.9</v>
      </c>
      <c r="Z339">
        <v>157.19999999999999</v>
      </c>
      <c r="AA339">
        <v>164.1</v>
      </c>
      <c r="AB339">
        <v>166.5</v>
      </c>
      <c r="AC339">
        <v>169.2</v>
      </c>
      <c r="AD339">
        <v>163.80000000000001</v>
      </c>
      <c r="AE339">
        <v>171.4</v>
      </c>
      <c r="AF339">
        <f t="shared" si="12"/>
        <v>175.68333333333331</v>
      </c>
      <c r="AG339">
        <v>198.3</v>
      </c>
      <c r="AH339">
        <f>AVERAGE(Table1[[#This Row],[Clothing]:[Footwear]])</f>
        <v>164.5</v>
      </c>
      <c r="AI339">
        <v>174.9</v>
      </c>
      <c r="AJ339">
        <v>162.1</v>
      </c>
      <c r="AK339">
        <v>157.19999999999999</v>
      </c>
      <c r="AL339">
        <v>164.1</v>
      </c>
      <c r="AM339" t="str">
        <f t="shared" si="13"/>
        <v>Post-COVID</v>
      </c>
    </row>
    <row r="340" spans="1:39" x14ac:dyDescent="0.35">
      <c r="A340" t="s">
        <v>34</v>
      </c>
      <c r="B340">
        <v>2022</v>
      </c>
      <c r="C340" t="s">
        <v>39</v>
      </c>
      <c r="D340" s="4">
        <f>DATE(B340,MATCH(C340,{"January","February","March","April","May","June","July","August","September","October","November","December"},0),1)</f>
        <v>44713</v>
      </c>
      <c r="E340">
        <v>155</v>
      </c>
      <c r="F340">
        <v>219.4</v>
      </c>
      <c r="G340">
        <v>170.8</v>
      </c>
      <c r="H340">
        <v>165.8</v>
      </c>
      <c r="I340">
        <v>200.9</v>
      </c>
      <c r="J340">
        <v>169.7</v>
      </c>
      <c r="K340">
        <v>182.3</v>
      </c>
      <c r="L340">
        <v>164.3</v>
      </c>
      <c r="M340">
        <v>119.9</v>
      </c>
      <c r="N340">
        <v>187.1</v>
      </c>
      <c r="O340">
        <v>167.9</v>
      </c>
      <c r="P340">
        <v>183.9</v>
      </c>
      <c r="Q340">
        <v>174.9</v>
      </c>
      <c r="R340">
        <v>194.3</v>
      </c>
      <c r="S340">
        <v>177.1</v>
      </c>
      <c r="T340">
        <v>169.9</v>
      </c>
      <c r="U340">
        <v>176</v>
      </c>
      <c r="V340">
        <v>166.8</v>
      </c>
      <c r="W340">
        <v>176</v>
      </c>
      <c r="X340">
        <v>166.4</v>
      </c>
      <c r="Y340">
        <v>175.4</v>
      </c>
      <c r="Z340">
        <v>161.1</v>
      </c>
      <c r="AA340">
        <v>165.8</v>
      </c>
      <c r="AB340">
        <v>169</v>
      </c>
      <c r="AC340">
        <v>169.4</v>
      </c>
      <c r="AD340">
        <v>167.5</v>
      </c>
      <c r="AE340">
        <v>172.6</v>
      </c>
      <c r="AF340">
        <f t="shared" si="12"/>
        <v>173.91666666666666</v>
      </c>
      <c r="AG340">
        <v>194.3</v>
      </c>
      <c r="AH340">
        <f>AVERAGE(Table1[[#This Row],[Clothing]:[Footwear]])</f>
        <v>173.5</v>
      </c>
      <c r="AI340">
        <v>176</v>
      </c>
      <c r="AJ340">
        <v>166.4</v>
      </c>
      <c r="AK340">
        <v>161.1</v>
      </c>
      <c r="AL340">
        <v>165.8</v>
      </c>
      <c r="AM340" t="str">
        <f t="shared" si="13"/>
        <v>Post-COVID</v>
      </c>
    </row>
    <row r="341" spans="1:39" x14ac:dyDescent="0.35">
      <c r="A341" t="s">
        <v>30</v>
      </c>
      <c r="B341">
        <v>2022</v>
      </c>
      <c r="C341" t="s">
        <v>40</v>
      </c>
      <c r="D341" s="4">
        <f>DATE(B341,MATCH(C341,{"January","February","March","April","May","June","July","August","September","October","November","December"},0),1)</f>
        <v>44743</v>
      </c>
      <c r="E341">
        <v>155.19999999999999</v>
      </c>
      <c r="F341">
        <v>210.8</v>
      </c>
      <c r="G341">
        <v>174.3</v>
      </c>
      <c r="H341">
        <v>166.3</v>
      </c>
      <c r="I341">
        <v>202.2</v>
      </c>
      <c r="J341">
        <v>169.6</v>
      </c>
      <c r="K341">
        <v>168.6</v>
      </c>
      <c r="L341">
        <v>164.4</v>
      </c>
      <c r="M341">
        <v>119.2</v>
      </c>
      <c r="N341">
        <v>191.8</v>
      </c>
      <c r="O341">
        <v>174.5</v>
      </c>
      <c r="P341">
        <v>183.1</v>
      </c>
      <c r="Q341">
        <v>172.5</v>
      </c>
      <c r="R341">
        <v>193.2</v>
      </c>
      <c r="S341">
        <v>182</v>
      </c>
      <c r="T341">
        <v>180.3</v>
      </c>
      <c r="U341">
        <v>181.7</v>
      </c>
      <c r="V341">
        <v>167.8</v>
      </c>
      <c r="W341">
        <v>179.6</v>
      </c>
      <c r="X341">
        <v>171.3</v>
      </c>
      <c r="Y341">
        <v>178.8</v>
      </c>
      <c r="Z341">
        <v>166.3</v>
      </c>
      <c r="AA341">
        <v>168.6</v>
      </c>
      <c r="AB341">
        <v>174.7</v>
      </c>
      <c r="AC341">
        <v>169.7</v>
      </c>
      <c r="AD341">
        <v>171.8</v>
      </c>
      <c r="AE341">
        <v>174.3</v>
      </c>
      <c r="AF341">
        <f t="shared" si="12"/>
        <v>173.33333333333334</v>
      </c>
      <c r="AG341">
        <v>193.2</v>
      </c>
      <c r="AH341">
        <f>AVERAGE(Table1[[#This Row],[Clothing]:[Footwear]])</f>
        <v>181.15</v>
      </c>
      <c r="AI341">
        <v>179.6</v>
      </c>
      <c r="AJ341">
        <v>171.3</v>
      </c>
      <c r="AK341">
        <v>166.3</v>
      </c>
      <c r="AL341">
        <v>168.6</v>
      </c>
      <c r="AM341" t="str">
        <f t="shared" si="13"/>
        <v>Post-COVID</v>
      </c>
    </row>
    <row r="342" spans="1:39" x14ac:dyDescent="0.35">
      <c r="A342" t="s">
        <v>33</v>
      </c>
      <c r="B342">
        <v>2022</v>
      </c>
      <c r="C342" t="s">
        <v>40</v>
      </c>
      <c r="D342" s="4">
        <f>DATE(B342,MATCH(C342,{"January","February","March","April","May","June","July","August","September","October","November","December"},0),1)</f>
        <v>44743</v>
      </c>
      <c r="E342">
        <v>159.30000000000001</v>
      </c>
      <c r="F342">
        <v>217.1</v>
      </c>
      <c r="G342">
        <v>176.6</v>
      </c>
      <c r="H342">
        <v>167.1</v>
      </c>
      <c r="I342">
        <v>184.8</v>
      </c>
      <c r="J342">
        <v>179.5</v>
      </c>
      <c r="K342">
        <v>208.5</v>
      </c>
      <c r="L342">
        <v>164</v>
      </c>
      <c r="M342">
        <v>121.5</v>
      </c>
      <c r="N342">
        <v>186.3</v>
      </c>
      <c r="O342">
        <v>159.80000000000001</v>
      </c>
      <c r="P342">
        <v>187.7</v>
      </c>
      <c r="Q342">
        <v>179.4</v>
      </c>
      <c r="R342">
        <v>198.6</v>
      </c>
      <c r="S342">
        <v>172.7</v>
      </c>
      <c r="T342">
        <v>158.69999999999999</v>
      </c>
      <c r="U342">
        <v>170.6</v>
      </c>
      <c r="V342">
        <v>167.8</v>
      </c>
      <c r="W342">
        <v>179.5</v>
      </c>
      <c r="X342">
        <v>163.1</v>
      </c>
      <c r="Y342">
        <v>171.7</v>
      </c>
      <c r="Z342">
        <v>157.4</v>
      </c>
      <c r="AA342">
        <v>164.6</v>
      </c>
      <c r="AB342">
        <v>169.1</v>
      </c>
      <c r="AC342">
        <v>169.8</v>
      </c>
      <c r="AD342">
        <v>164.7</v>
      </c>
      <c r="AE342">
        <v>172.3</v>
      </c>
      <c r="AF342">
        <f t="shared" si="12"/>
        <v>176.01666666666665</v>
      </c>
      <c r="AG342">
        <v>198.6</v>
      </c>
      <c r="AH342">
        <f>AVERAGE(Table1[[#This Row],[Clothing]:[Footwear]])</f>
        <v>165.7</v>
      </c>
      <c r="AI342">
        <v>179.5</v>
      </c>
      <c r="AJ342">
        <v>163.1</v>
      </c>
      <c r="AK342">
        <v>157.4</v>
      </c>
      <c r="AL342">
        <v>164.6</v>
      </c>
      <c r="AM342" t="str">
        <f t="shared" si="13"/>
        <v>Post-COVID</v>
      </c>
    </row>
    <row r="343" spans="1:39" x14ac:dyDescent="0.35">
      <c r="A343" t="s">
        <v>34</v>
      </c>
      <c r="B343">
        <v>2022</v>
      </c>
      <c r="C343" t="s">
        <v>40</v>
      </c>
      <c r="D343" s="4">
        <f>DATE(B343,MATCH(C343,{"January","February","March","April","May","June","July","August","September","October","November","December"},0),1)</f>
        <v>44743</v>
      </c>
      <c r="E343">
        <v>156.5</v>
      </c>
      <c r="F343">
        <v>213</v>
      </c>
      <c r="G343">
        <v>175.2</v>
      </c>
      <c r="H343">
        <v>166.6</v>
      </c>
      <c r="I343">
        <v>195.8</v>
      </c>
      <c r="J343">
        <v>174.2</v>
      </c>
      <c r="K343">
        <v>182.1</v>
      </c>
      <c r="L343">
        <v>164.3</v>
      </c>
      <c r="M343">
        <v>120</v>
      </c>
      <c r="N343">
        <v>190</v>
      </c>
      <c r="O343">
        <v>168.4</v>
      </c>
      <c r="P343">
        <v>185.2</v>
      </c>
      <c r="Q343">
        <v>175</v>
      </c>
      <c r="R343">
        <v>194.6</v>
      </c>
      <c r="S343">
        <v>178.3</v>
      </c>
      <c r="T343">
        <v>171.3</v>
      </c>
      <c r="U343">
        <v>177.3</v>
      </c>
      <c r="V343">
        <v>167.8</v>
      </c>
      <c r="W343">
        <v>179.6</v>
      </c>
      <c r="X343">
        <v>167.4</v>
      </c>
      <c r="Y343">
        <v>176.1</v>
      </c>
      <c r="Z343">
        <v>161.6</v>
      </c>
      <c r="AA343">
        <v>166.3</v>
      </c>
      <c r="AB343">
        <v>171.4</v>
      </c>
      <c r="AC343">
        <v>169.7</v>
      </c>
      <c r="AD343">
        <v>168.4</v>
      </c>
      <c r="AE343">
        <v>173.4</v>
      </c>
      <c r="AF343">
        <f t="shared" si="12"/>
        <v>174.27500000000001</v>
      </c>
      <c r="AG343">
        <v>194.6</v>
      </c>
      <c r="AH343">
        <f>AVERAGE(Table1[[#This Row],[Clothing]:[Footwear]])</f>
        <v>174.8</v>
      </c>
      <c r="AI343">
        <v>179.6</v>
      </c>
      <c r="AJ343">
        <v>167.4</v>
      </c>
      <c r="AK343">
        <v>161.6</v>
      </c>
      <c r="AL343">
        <v>166.3</v>
      </c>
      <c r="AM343" t="str">
        <f t="shared" si="13"/>
        <v>Post-COVID</v>
      </c>
    </row>
    <row r="344" spans="1:39" x14ac:dyDescent="0.35">
      <c r="A344" t="s">
        <v>30</v>
      </c>
      <c r="B344">
        <v>2022</v>
      </c>
      <c r="C344" t="s">
        <v>41</v>
      </c>
      <c r="D344" s="4">
        <f>DATE(B344,MATCH(C344,{"January","February","March","April","May","June","July","August","September","October","November","December"},0),1)</f>
        <v>44774</v>
      </c>
      <c r="E344">
        <v>159.5</v>
      </c>
      <c r="F344">
        <v>204.1</v>
      </c>
      <c r="G344">
        <v>168.3</v>
      </c>
      <c r="H344">
        <v>167.9</v>
      </c>
      <c r="I344">
        <v>198.1</v>
      </c>
      <c r="J344">
        <v>169.2</v>
      </c>
      <c r="K344">
        <v>173.1</v>
      </c>
      <c r="L344">
        <v>167.1</v>
      </c>
      <c r="M344">
        <v>120.2</v>
      </c>
      <c r="N344">
        <v>195.6</v>
      </c>
      <c r="O344">
        <v>174.8</v>
      </c>
      <c r="P344">
        <v>184</v>
      </c>
      <c r="Q344">
        <v>173.9</v>
      </c>
      <c r="R344">
        <v>193.7</v>
      </c>
      <c r="S344">
        <v>183.2</v>
      </c>
      <c r="T344">
        <v>181.7</v>
      </c>
      <c r="U344">
        <v>183</v>
      </c>
      <c r="V344">
        <v>169</v>
      </c>
      <c r="W344">
        <v>179.1</v>
      </c>
      <c r="X344">
        <v>172.3</v>
      </c>
      <c r="Y344">
        <v>179.4</v>
      </c>
      <c r="Z344">
        <v>166.6</v>
      </c>
      <c r="AA344">
        <v>169.3</v>
      </c>
      <c r="AB344">
        <v>175.7</v>
      </c>
      <c r="AC344">
        <v>171.1</v>
      </c>
      <c r="AD344">
        <v>172.6</v>
      </c>
      <c r="AE344">
        <v>175.3</v>
      </c>
      <c r="AF344">
        <f t="shared" si="12"/>
        <v>173.49166666666665</v>
      </c>
      <c r="AG344">
        <v>193.7</v>
      </c>
      <c r="AH344">
        <f>AVERAGE(Table1[[#This Row],[Clothing]:[Footwear]])</f>
        <v>182.45</v>
      </c>
      <c r="AI344">
        <v>179.1</v>
      </c>
      <c r="AJ344">
        <v>172.3</v>
      </c>
      <c r="AK344">
        <v>166.6</v>
      </c>
      <c r="AL344">
        <v>169.3</v>
      </c>
      <c r="AM344" t="str">
        <f t="shared" si="13"/>
        <v>Post-COVID</v>
      </c>
    </row>
    <row r="345" spans="1:39" x14ac:dyDescent="0.35">
      <c r="A345" t="s">
        <v>33</v>
      </c>
      <c r="B345">
        <v>2022</v>
      </c>
      <c r="C345" t="s">
        <v>41</v>
      </c>
      <c r="D345" s="4">
        <f>DATE(B345,MATCH(C345,{"January","February","March","April","May","June","July","August","September","October","November","December"},0),1)</f>
        <v>44774</v>
      </c>
      <c r="E345">
        <v>162.1</v>
      </c>
      <c r="F345">
        <v>210.9</v>
      </c>
      <c r="G345">
        <v>170.6</v>
      </c>
      <c r="H345">
        <v>168.4</v>
      </c>
      <c r="I345">
        <v>182.5</v>
      </c>
      <c r="J345">
        <v>177.1</v>
      </c>
      <c r="K345">
        <v>213.1</v>
      </c>
      <c r="L345">
        <v>167.3</v>
      </c>
      <c r="M345">
        <v>122.2</v>
      </c>
      <c r="N345">
        <v>189.7</v>
      </c>
      <c r="O345">
        <v>160.5</v>
      </c>
      <c r="P345">
        <v>188.9</v>
      </c>
      <c r="Q345">
        <v>180.4</v>
      </c>
      <c r="R345">
        <v>198.7</v>
      </c>
      <c r="S345">
        <v>173.7</v>
      </c>
      <c r="T345">
        <v>160</v>
      </c>
      <c r="U345">
        <v>171.6</v>
      </c>
      <c r="V345">
        <v>169</v>
      </c>
      <c r="W345">
        <v>178.4</v>
      </c>
      <c r="X345">
        <v>164.2</v>
      </c>
      <c r="Y345">
        <v>172.6</v>
      </c>
      <c r="Z345">
        <v>157.69999999999999</v>
      </c>
      <c r="AA345">
        <v>165.1</v>
      </c>
      <c r="AB345">
        <v>169.9</v>
      </c>
      <c r="AC345">
        <v>171.4</v>
      </c>
      <c r="AD345">
        <v>165.4</v>
      </c>
      <c r="AE345">
        <v>173.1</v>
      </c>
      <c r="AF345">
        <f t="shared" si="12"/>
        <v>176.10833333333332</v>
      </c>
      <c r="AG345">
        <v>198.7</v>
      </c>
      <c r="AH345">
        <f>AVERAGE(Table1[[#This Row],[Clothing]:[Footwear]])</f>
        <v>166.85</v>
      </c>
      <c r="AI345">
        <v>178.4</v>
      </c>
      <c r="AJ345">
        <v>164.2</v>
      </c>
      <c r="AK345">
        <v>157.69999999999999</v>
      </c>
      <c r="AL345">
        <v>165.1</v>
      </c>
      <c r="AM345" t="str">
        <f t="shared" si="13"/>
        <v>Post-COVID</v>
      </c>
    </row>
    <row r="346" spans="1:39" x14ac:dyDescent="0.35">
      <c r="A346" t="s">
        <v>34</v>
      </c>
      <c r="B346">
        <v>2022</v>
      </c>
      <c r="C346" t="s">
        <v>41</v>
      </c>
      <c r="D346" s="4">
        <f>DATE(B346,MATCH(C346,{"January","February","March","April","May","June","July","August","September","October","November","December"},0),1)</f>
        <v>44774</v>
      </c>
      <c r="E346">
        <v>160.30000000000001</v>
      </c>
      <c r="F346">
        <v>206.5</v>
      </c>
      <c r="G346">
        <v>169.2</v>
      </c>
      <c r="H346">
        <v>168.1</v>
      </c>
      <c r="I346">
        <v>192.4</v>
      </c>
      <c r="J346">
        <v>172.9</v>
      </c>
      <c r="K346">
        <v>186.7</v>
      </c>
      <c r="L346">
        <v>167.2</v>
      </c>
      <c r="M346">
        <v>120.9</v>
      </c>
      <c r="N346">
        <v>193.6</v>
      </c>
      <c r="O346">
        <v>168.8</v>
      </c>
      <c r="P346">
        <v>186.3</v>
      </c>
      <c r="Q346">
        <v>176.3</v>
      </c>
      <c r="R346">
        <v>195</v>
      </c>
      <c r="S346">
        <v>179.5</v>
      </c>
      <c r="T346">
        <v>172.7</v>
      </c>
      <c r="U346">
        <v>178.5</v>
      </c>
      <c r="V346">
        <v>169</v>
      </c>
      <c r="W346">
        <v>178.8</v>
      </c>
      <c r="X346">
        <v>168.5</v>
      </c>
      <c r="Y346">
        <v>176.8</v>
      </c>
      <c r="Z346">
        <v>161.9</v>
      </c>
      <c r="AA346">
        <v>166.9</v>
      </c>
      <c r="AB346">
        <v>172.3</v>
      </c>
      <c r="AC346">
        <v>171.2</v>
      </c>
      <c r="AD346">
        <v>169.1</v>
      </c>
      <c r="AE346">
        <v>174.3</v>
      </c>
      <c r="AF346">
        <f t="shared" si="12"/>
        <v>174.40833333333333</v>
      </c>
      <c r="AG346">
        <v>195</v>
      </c>
      <c r="AH346">
        <f>AVERAGE(Table1[[#This Row],[Clothing]:[Footwear]])</f>
        <v>176.1</v>
      </c>
      <c r="AI346">
        <v>178.8</v>
      </c>
      <c r="AJ346">
        <v>168.5</v>
      </c>
      <c r="AK346">
        <v>161.9</v>
      </c>
      <c r="AL346">
        <v>166.9</v>
      </c>
      <c r="AM346" t="str">
        <f t="shared" si="13"/>
        <v>Post-COVID</v>
      </c>
    </row>
    <row r="347" spans="1:39" x14ac:dyDescent="0.35">
      <c r="A347" t="s">
        <v>30</v>
      </c>
      <c r="B347">
        <v>2022</v>
      </c>
      <c r="C347" t="s">
        <v>42</v>
      </c>
      <c r="D347" s="4">
        <f>DATE(B347,MATCH(C347,{"January","February","March","April","May","June","July","August","September","October","November","December"},0),1)</f>
        <v>44805</v>
      </c>
      <c r="E347">
        <v>162.9</v>
      </c>
      <c r="F347">
        <v>206.7</v>
      </c>
      <c r="G347">
        <v>169</v>
      </c>
      <c r="H347">
        <v>169.5</v>
      </c>
      <c r="I347">
        <v>194.1</v>
      </c>
      <c r="J347">
        <v>164.1</v>
      </c>
      <c r="K347">
        <v>176.9</v>
      </c>
      <c r="L347">
        <v>169</v>
      </c>
      <c r="M347">
        <v>120.8</v>
      </c>
      <c r="N347">
        <v>199.1</v>
      </c>
      <c r="O347">
        <v>175.4</v>
      </c>
      <c r="P347">
        <v>184.8</v>
      </c>
      <c r="Q347">
        <v>175.5</v>
      </c>
      <c r="R347">
        <v>194.5</v>
      </c>
      <c r="S347">
        <v>184.7</v>
      </c>
      <c r="T347">
        <v>183.3</v>
      </c>
      <c r="U347">
        <v>184.5</v>
      </c>
      <c r="V347">
        <v>169.5</v>
      </c>
      <c r="W347">
        <v>179.7</v>
      </c>
      <c r="X347">
        <v>173.6</v>
      </c>
      <c r="Y347">
        <v>180.2</v>
      </c>
      <c r="Z347">
        <v>166.9</v>
      </c>
      <c r="AA347">
        <v>170</v>
      </c>
      <c r="AB347">
        <v>176.2</v>
      </c>
      <c r="AC347">
        <v>170.8</v>
      </c>
      <c r="AD347">
        <v>173.1</v>
      </c>
      <c r="AE347">
        <v>176.4</v>
      </c>
      <c r="AF347">
        <f t="shared" si="12"/>
        <v>174.35833333333335</v>
      </c>
      <c r="AG347">
        <v>194.5</v>
      </c>
      <c r="AH347">
        <f>AVERAGE(Table1[[#This Row],[Clothing]:[Footwear]])</f>
        <v>184</v>
      </c>
      <c r="AI347">
        <v>179.7</v>
      </c>
      <c r="AJ347">
        <v>173.6</v>
      </c>
      <c r="AK347">
        <v>166.9</v>
      </c>
      <c r="AL347">
        <v>170</v>
      </c>
      <c r="AM347" t="str">
        <f t="shared" si="13"/>
        <v>Post-COVID</v>
      </c>
    </row>
    <row r="348" spans="1:39" x14ac:dyDescent="0.35">
      <c r="A348" t="s">
        <v>33</v>
      </c>
      <c r="B348">
        <v>2022</v>
      </c>
      <c r="C348" t="s">
        <v>42</v>
      </c>
      <c r="D348" s="4">
        <f>DATE(B348,MATCH(C348,{"January","February","March","April","May","June","July","August","September","October","November","December"},0),1)</f>
        <v>44805</v>
      </c>
      <c r="E348">
        <v>164.9</v>
      </c>
      <c r="F348">
        <v>213.7</v>
      </c>
      <c r="G348">
        <v>170.9</v>
      </c>
      <c r="H348">
        <v>170.1</v>
      </c>
      <c r="I348">
        <v>179.3</v>
      </c>
      <c r="J348">
        <v>167.5</v>
      </c>
      <c r="K348">
        <v>220.8</v>
      </c>
      <c r="L348">
        <v>169.2</v>
      </c>
      <c r="M348">
        <v>123.1</v>
      </c>
      <c r="N348">
        <v>193.6</v>
      </c>
      <c r="O348">
        <v>161.1</v>
      </c>
      <c r="P348">
        <v>190.4</v>
      </c>
      <c r="Q348">
        <v>181.8</v>
      </c>
      <c r="R348">
        <v>199.7</v>
      </c>
      <c r="S348">
        <v>175</v>
      </c>
      <c r="T348">
        <v>161.69999999999999</v>
      </c>
      <c r="U348">
        <v>173</v>
      </c>
      <c r="V348">
        <v>169.5</v>
      </c>
      <c r="W348">
        <v>179.2</v>
      </c>
      <c r="X348">
        <v>165</v>
      </c>
      <c r="Y348">
        <v>173.8</v>
      </c>
      <c r="Z348">
        <v>158.19999999999999</v>
      </c>
      <c r="AA348">
        <v>165.8</v>
      </c>
      <c r="AB348">
        <v>170.9</v>
      </c>
      <c r="AC348">
        <v>171.1</v>
      </c>
      <c r="AD348">
        <v>166.1</v>
      </c>
      <c r="AE348">
        <v>174.1</v>
      </c>
      <c r="AF348">
        <f t="shared" si="12"/>
        <v>177.04999999999998</v>
      </c>
      <c r="AG348">
        <v>199.7</v>
      </c>
      <c r="AH348">
        <f>AVERAGE(Table1[[#This Row],[Clothing]:[Footwear]])</f>
        <v>168.35</v>
      </c>
      <c r="AI348">
        <v>179.2</v>
      </c>
      <c r="AJ348">
        <v>165</v>
      </c>
      <c r="AK348">
        <v>158.19999999999999</v>
      </c>
      <c r="AL348">
        <v>165.8</v>
      </c>
      <c r="AM348" t="str">
        <f t="shared" si="13"/>
        <v>Post-COVID</v>
      </c>
    </row>
    <row r="349" spans="1:39" x14ac:dyDescent="0.35">
      <c r="A349" t="s">
        <v>34</v>
      </c>
      <c r="B349">
        <v>2022</v>
      </c>
      <c r="C349" t="s">
        <v>42</v>
      </c>
      <c r="D349" s="4">
        <f>DATE(B349,MATCH(C349,{"January","February","March","April","May","June","July","August","September","October","November","December"},0),1)</f>
        <v>44805</v>
      </c>
      <c r="E349">
        <v>163.5</v>
      </c>
      <c r="F349">
        <v>209.2</v>
      </c>
      <c r="G349">
        <v>169.7</v>
      </c>
      <c r="H349">
        <v>169.7</v>
      </c>
      <c r="I349">
        <v>188.7</v>
      </c>
      <c r="J349">
        <v>165.7</v>
      </c>
      <c r="K349">
        <v>191.8</v>
      </c>
      <c r="L349">
        <v>169.1</v>
      </c>
      <c r="M349">
        <v>121.6</v>
      </c>
      <c r="N349">
        <v>197.3</v>
      </c>
      <c r="O349">
        <v>169.4</v>
      </c>
      <c r="P349">
        <v>187.4</v>
      </c>
      <c r="Q349">
        <v>177.8</v>
      </c>
      <c r="R349">
        <v>195.9</v>
      </c>
      <c r="S349">
        <v>180.9</v>
      </c>
      <c r="T349">
        <v>174.3</v>
      </c>
      <c r="U349">
        <v>179.9</v>
      </c>
      <c r="V349">
        <v>169.5</v>
      </c>
      <c r="W349">
        <v>179.5</v>
      </c>
      <c r="X349">
        <v>169.5</v>
      </c>
      <c r="Y349">
        <v>177.8</v>
      </c>
      <c r="Z349">
        <v>162.30000000000001</v>
      </c>
      <c r="AA349">
        <v>167.6</v>
      </c>
      <c r="AB349">
        <v>173.1</v>
      </c>
      <c r="AC349">
        <v>170.9</v>
      </c>
      <c r="AD349">
        <v>169.7</v>
      </c>
      <c r="AE349">
        <v>175.3</v>
      </c>
      <c r="AF349">
        <f t="shared" si="12"/>
        <v>175.25833333333333</v>
      </c>
      <c r="AG349">
        <v>195.9</v>
      </c>
      <c r="AH349">
        <f>AVERAGE(Table1[[#This Row],[Clothing]:[Footwear]])</f>
        <v>177.60000000000002</v>
      </c>
      <c r="AI349">
        <v>179.5</v>
      </c>
      <c r="AJ349">
        <v>169.5</v>
      </c>
      <c r="AK349">
        <v>162.30000000000001</v>
      </c>
      <c r="AL349">
        <v>167.6</v>
      </c>
      <c r="AM349" t="str">
        <f t="shared" si="13"/>
        <v>Post-COVID</v>
      </c>
    </row>
    <row r="350" spans="1:39" x14ac:dyDescent="0.35">
      <c r="A350" t="s">
        <v>30</v>
      </c>
      <c r="B350">
        <v>2022</v>
      </c>
      <c r="C350" t="s">
        <v>43</v>
      </c>
      <c r="D350" s="4">
        <f>DATE(B350,MATCH(C350,{"January","February","March","April","May","June","July","August","September","October","November","December"},0),1)</f>
        <v>44835</v>
      </c>
      <c r="E350">
        <v>164.7</v>
      </c>
      <c r="F350">
        <v>208.8</v>
      </c>
      <c r="G350">
        <v>170.3</v>
      </c>
      <c r="H350">
        <v>170.9</v>
      </c>
      <c r="I350">
        <v>191.6</v>
      </c>
      <c r="J350">
        <v>162.19999999999999</v>
      </c>
      <c r="K350">
        <v>184.8</v>
      </c>
      <c r="L350">
        <v>169.7</v>
      </c>
      <c r="M350">
        <v>121.1</v>
      </c>
      <c r="N350">
        <v>201.6</v>
      </c>
      <c r="O350">
        <v>175.8</v>
      </c>
      <c r="P350">
        <v>185.6</v>
      </c>
      <c r="Q350">
        <v>177.4</v>
      </c>
      <c r="R350">
        <v>194.9</v>
      </c>
      <c r="S350">
        <v>186.1</v>
      </c>
      <c r="T350">
        <v>184.4</v>
      </c>
      <c r="U350">
        <v>185.9</v>
      </c>
      <c r="V350">
        <v>171.2</v>
      </c>
      <c r="W350">
        <v>180.8</v>
      </c>
      <c r="X350">
        <v>174.4</v>
      </c>
      <c r="Y350">
        <v>181.2</v>
      </c>
      <c r="Z350">
        <v>167.4</v>
      </c>
      <c r="AA350">
        <v>170.6</v>
      </c>
      <c r="AB350">
        <v>176.5</v>
      </c>
      <c r="AC350">
        <v>172</v>
      </c>
      <c r="AD350">
        <v>173.9</v>
      </c>
      <c r="AE350">
        <v>177.9</v>
      </c>
      <c r="AF350">
        <f t="shared" si="12"/>
        <v>175.59166666666667</v>
      </c>
      <c r="AG350">
        <v>194.9</v>
      </c>
      <c r="AH350">
        <f>AVERAGE(Table1[[#This Row],[Clothing]:[Footwear]])</f>
        <v>185.25</v>
      </c>
      <c r="AI350">
        <v>180.8</v>
      </c>
      <c r="AJ350">
        <v>174.4</v>
      </c>
      <c r="AK350">
        <v>167.4</v>
      </c>
      <c r="AL350">
        <v>170.6</v>
      </c>
      <c r="AM350" t="str">
        <f t="shared" si="13"/>
        <v>Post-COVID</v>
      </c>
    </row>
    <row r="351" spans="1:39" x14ac:dyDescent="0.35">
      <c r="A351" t="s">
        <v>33</v>
      </c>
      <c r="B351">
        <v>2022</v>
      </c>
      <c r="C351" t="s">
        <v>43</v>
      </c>
      <c r="D351" s="4">
        <f>DATE(B351,MATCH(C351,{"January","February","March","April","May","June","July","August","September","October","November","December"},0),1)</f>
        <v>44835</v>
      </c>
      <c r="E351">
        <v>166.4</v>
      </c>
      <c r="F351">
        <v>214.9</v>
      </c>
      <c r="G351">
        <v>171.9</v>
      </c>
      <c r="H351">
        <v>171</v>
      </c>
      <c r="I351">
        <v>177.7</v>
      </c>
      <c r="J351">
        <v>165.7</v>
      </c>
      <c r="K351">
        <v>228.6</v>
      </c>
      <c r="L351">
        <v>169.9</v>
      </c>
      <c r="M351">
        <v>123.4</v>
      </c>
      <c r="N351">
        <v>196.4</v>
      </c>
      <c r="O351">
        <v>161.6</v>
      </c>
      <c r="P351">
        <v>191.5</v>
      </c>
      <c r="Q351">
        <v>183.3</v>
      </c>
      <c r="R351">
        <v>200.1</v>
      </c>
      <c r="S351">
        <v>175.5</v>
      </c>
      <c r="T351">
        <v>162.6</v>
      </c>
      <c r="U351">
        <v>173.6</v>
      </c>
      <c r="V351">
        <v>171.2</v>
      </c>
      <c r="W351">
        <v>180</v>
      </c>
      <c r="X351">
        <v>166</v>
      </c>
      <c r="Y351">
        <v>174.7</v>
      </c>
      <c r="Z351">
        <v>158.80000000000001</v>
      </c>
      <c r="AA351">
        <v>166.3</v>
      </c>
      <c r="AB351">
        <v>171.2</v>
      </c>
      <c r="AC351">
        <v>172.3</v>
      </c>
      <c r="AD351">
        <v>166.8</v>
      </c>
      <c r="AE351">
        <v>175.3</v>
      </c>
      <c r="AF351">
        <f t="shared" si="12"/>
        <v>178.25</v>
      </c>
      <c r="AG351">
        <v>200.1</v>
      </c>
      <c r="AH351">
        <f>AVERAGE(Table1[[#This Row],[Clothing]:[Footwear]])</f>
        <v>169.05</v>
      </c>
      <c r="AI351">
        <v>180</v>
      </c>
      <c r="AJ351">
        <v>166</v>
      </c>
      <c r="AK351">
        <v>158.80000000000001</v>
      </c>
      <c r="AL351">
        <v>166.3</v>
      </c>
      <c r="AM351" t="str">
        <f t="shared" si="13"/>
        <v>Post-COVID</v>
      </c>
    </row>
    <row r="352" spans="1:39" x14ac:dyDescent="0.35">
      <c r="A352" t="s">
        <v>34</v>
      </c>
      <c r="B352">
        <v>2022</v>
      </c>
      <c r="C352" t="s">
        <v>43</v>
      </c>
      <c r="D352" s="4">
        <f>DATE(B352,MATCH(C352,{"January","February","March","April","May","June","July","August","September","October","November","December"},0),1)</f>
        <v>44835</v>
      </c>
      <c r="E352">
        <v>165.2</v>
      </c>
      <c r="F352">
        <v>210.9</v>
      </c>
      <c r="G352">
        <v>170.9</v>
      </c>
      <c r="H352">
        <v>170.9</v>
      </c>
      <c r="I352">
        <v>186.5</v>
      </c>
      <c r="J352">
        <v>163.80000000000001</v>
      </c>
      <c r="K352">
        <v>199.7</v>
      </c>
      <c r="L352">
        <v>169.8</v>
      </c>
      <c r="M352">
        <v>121.9</v>
      </c>
      <c r="N352">
        <v>199.9</v>
      </c>
      <c r="O352">
        <v>169.9</v>
      </c>
      <c r="P352">
        <v>188.3</v>
      </c>
      <c r="Q352">
        <v>179.6</v>
      </c>
      <c r="R352">
        <v>196.3</v>
      </c>
      <c r="S352">
        <v>181.9</v>
      </c>
      <c r="T352">
        <v>175.3</v>
      </c>
      <c r="U352">
        <v>181</v>
      </c>
      <c r="V352">
        <v>171.2</v>
      </c>
      <c r="W352">
        <v>180.5</v>
      </c>
      <c r="X352">
        <v>170.4</v>
      </c>
      <c r="Y352">
        <v>178.7</v>
      </c>
      <c r="Z352">
        <v>162.9</v>
      </c>
      <c r="AA352">
        <v>168.2</v>
      </c>
      <c r="AB352">
        <v>173.4</v>
      </c>
      <c r="AC352">
        <v>172.1</v>
      </c>
      <c r="AD352">
        <v>170.5</v>
      </c>
      <c r="AE352">
        <v>176.7</v>
      </c>
      <c r="AF352">
        <f t="shared" si="12"/>
        <v>176.47500000000002</v>
      </c>
      <c r="AG352">
        <v>196.3</v>
      </c>
      <c r="AH352">
        <f>AVERAGE(Table1[[#This Row],[Clothing]:[Footwear]])</f>
        <v>178.60000000000002</v>
      </c>
      <c r="AI352">
        <v>180.5</v>
      </c>
      <c r="AJ352">
        <v>170.4</v>
      </c>
      <c r="AK352">
        <v>162.9</v>
      </c>
      <c r="AL352">
        <v>168.2</v>
      </c>
      <c r="AM352" t="str">
        <f t="shared" si="13"/>
        <v>Post-COVID</v>
      </c>
    </row>
    <row r="353" spans="1:39" x14ac:dyDescent="0.35">
      <c r="A353" t="s">
        <v>30</v>
      </c>
      <c r="B353">
        <v>2022</v>
      </c>
      <c r="C353" t="s">
        <v>45</v>
      </c>
      <c r="D353" s="4">
        <f>DATE(B353,MATCH(C353,{"January","February","March","April","May","June","July","August","September","October","November","December"},0),1)</f>
        <v>44866</v>
      </c>
      <c r="E353">
        <v>166.9</v>
      </c>
      <c r="F353">
        <v>207.2</v>
      </c>
      <c r="G353">
        <v>180.2</v>
      </c>
      <c r="H353">
        <v>172.3</v>
      </c>
      <c r="I353">
        <v>194</v>
      </c>
      <c r="J353">
        <v>159.1</v>
      </c>
      <c r="K353">
        <v>171.6</v>
      </c>
      <c r="L353">
        <v>170.2</v>
      </c>
      <c r="M353">
        <v>121.5</v>
      </c>
      <c r="N353">
        <v>204.8</v>
      </c>
      <c r="O353">
        <v>176.4</v>
      </c>
      <c r="P353">
        <v>186.9</v>
      </c>
      <c r="Q353">
        <v>176.6</v>
      </c>
      <c r="R353">
        <v>195.5</v>
      </c>
      <c r="S353">
        <v>187.2</v>
      </c>
      <c r="T353">
        <v>185.2</v>
      </c>
      <c r="U353">
        <v>186.9</v>
      </c>
      <c r="V353">
        <v>171.8</v>
      </c>
      <c r="W353">
        <v>181.9</v>
      </c>
      <c r="X353">
        <v>175.5</v>
      </c>
      <c r="Y353">
        <v>182.3</v>
      </c>
      <c r="Z353">
        <v>167.5</v>
      </c>
      <c r="AA353">
        <v>170.8</v>
      </c>
      <c r="AB353">
        <v>176.9</v>
      </c>
      <c r="AC353">
        <v>173.4</v>
      </c>
      <c r="AD353">
        <v>174.6</v>
      </c>
      <c r="AE353">
        <v>177.8</v>
      </c>
      <c r="AF353">
        <f t="shared" si="12"/>
        <v>175.92499999999998</v>
      </c>
      <c r="AG353">
        <v>195.5</v>
      </c>
      <c r="AH353">
        <f>AVERAGE(Table1[[#This Row],[Clothing]:[Footwear]])</f>
        <v>186.2</v>
      </c>
      <c r="AI353">
        <v>181.9</v>
      </c>
      <c r="AJ353">
        <v>175.5</v>
      </c>
      <c r="AK353">
        <v>167.5</v>
      </c>
      <c r="AL353">
        <v>170.8</v>
      </c>
      <c r="AM353" t="str">
        <f t="shared" si="13"/>
        <v>Post-COVID</v>
      </c>
    </row>
    <row r="354" spans="1:39" x14ac:dyDescent="0.35">
      <c r="A354" t="s">
        <v>33</v>
      </c>
      <c r="B354">
        <v>2022</v>
      </c>
      <c r="C354" t="s">
        <v>45</v>
      </c>
      <c r="D354" s="4">
        <f>DATE(B354,MATCH(C354,{"January","February","March","April","May","June","July","August","September","October","November","December"},0),1)</f>
        <v>44866</v>
      </c>
      <c r="E354">
        <v>168.4</v>
      </c>
      <c r="F354">
        <v>213.4</v>
      </c>
      <c r="G354">
        <v>183.2</v>
      </c>
      <c r="H354">
        <v>172.3</v>
      </c>
      <c r="I354">
        <v>180</v>
      </c>
      <c r="J354">
        <v>162.6</v>
      </c>
      <c r="K354">
        <v>205.5</v>
      </c>
      <c r="L354">
        <v>171</v>
      </c>
      <c r="M354">
        <v>123.4</v>
      </c>
      <c r="N354">
        <v>198.8</v>
      </c>
      <c r="O354">
        <v>162.1</v>
      </c>
      <c r="P354">
        <v>192.4</v>
      </c>
      <c r="Q354">
        <v>181.3</v>
      </c>
      <c r="R354">
        <v>200.6</v>
      </c>
      <c r="S354">
        <v>176.7</v>
      </c>
      <c r="T354">
        <v>163.5</v>
      </c>
      <c r="U354">
        <v>174.7</v>
      </c>
      <c r="V354">
        <v>171.8</v>
      </c>
      <c r="W354">
        <v>180.3</v>
      </c>
      <c r="X354">
        <v>166.9</v>
      </c>
      <c r="Y354">
        <v>175.8</v>
      </c>
      <c r="Z354">
        <v>158.9</v>
      </c>
      <c r="AA354">
        <v>166.7</v>
      </c>
      <c r="AB354">
        <v>171.5</v>
      </c>
      <c r="AC354">
        <v>173.8</v>
      </c>
      <c r="AD354">
        <v>167.4</v>
      </c>
      <c r="AE354">
        <v>174.1</v>
      </c>
      <c r="AF354">
        <f t="shared" si="12"/>
        <v>177.75833333333333</v>
      </c>
      <c r="AG354">
        <v>200.6</v>
      </c>
      <c r="AH354">
        <f>AVERAGE(Table1[[#This Row],[Clothing]:[Footwear]])</f>
        <v>170.1</v>
      </c>
      <c r="AI354">
        <v>180.3</v>
      </c>
      <c r="AJ354">
        <v>166.9</v>
      </c>
      <c r="AK354">
        <v>158.9</v>
      </c>
      <c r="AL354">
        <v>166.7</v>
      </c>
      <c r="AM354" t="str">
        <f t="shared" si="13"/>
        <v>Post-COVID</v>
      </c>
    </row>
    <row r="355" spans="1:39" x14ac:dyDescent="0.35">
      <c r="A355" t="s">
        <v>34</v>
      </c>
      <c r="B355">
        <v>2022</v>
      </c>
      <c r="C355" t="s">
        <v>45</v>
      </c>
      <c r="D355" s="4">
        <f>DATE(B355,MATCH(C355,{"January","February","March","April","May","June","July","August","September","October","November","December"},0),1)</f>
        <v>44866</v>
      </c>
      <c r="E355">
        <v>167.4</v>
      </c>
      <c r="F355">
        <v>209.4</v>
      </c>
      <c r="G355">
        <v>181.4</v>
      </c>
      <c r="H355">
        <v>172.3</v>
      </c>
      <c r="I355">
        <v>188.9</v>
      </c>
      <c r="J355">
        <v>160.69999999999999</v>
      </c>
      <c r="K355">
        <v>183.1</v>
      </c>
      <c r="L355">
        <v>170.5</v>
      </c>
      <c r="M355">
        <v>122.1</v>
      </c>
      <c r="N355">
        <v>202.8</v>
      </c>
      <c r="O355">
        <v>170.4</v>
      </c>
      <c r="P355">
        <v>189.5</v>
      </c>
      <c r="Q355">
        <v>178.3</v>
      </c>
      <c r="R355">
        <v>196.9</v>
      </c>
      <c r="S355">
        <v>183.1</v>
      </c>
      <c r="T355">
        <v>176.2</v>
      </c>
      <c r="U355">
        <v>182.1</v>
      </c>
      <c r="V355">
        <v>171.8</v>
      </c>
      <c r="W355">
        <v>181.3</v>
      </c>
      <c r="X355">
        <v>171.4</v>
      </c>
      <c r="Y355">
        <v>179.8</v>
      </c>
      <c r="Z355">
        <v>163</v>
      </c>
      <c r="AA355">
        <v>168.5</v>
      </c>
      <c r="AB355">
        <v>173.7</v>
      </c>
      <c r="AC355">
        <v>173.6</v>
      </c>
      <c r="AD355">
        <v>171.1</v>
      </c>
      <c r="AE355">
        <v>176.5</v>
      </c>
      <c r="AF355">
        <f t="shared" si="12"/>
        <v>176.54166666666666</v>
      </c>
      <c r="AG355">
        <v>196.9</v>
      </c>
      <c r="AH355">
        <f>AVERAGE(Table1[[#This Row],[Clothing]:[Footwear]])</f>
        <v>179.64999999999998</v>
      </c>
      <c r="AI355">
        <v>181.3</v>
      </c>
      <c r="AJ355">
        <v>171.4</v>
      </c>
      <c r="AK355">
        <v>163</v>
      </c>
      <c r="AL355">
        <v>168.5</v>
      </c>
      <c r="AM355" t="str">
        <f t="shared" si="13"/>
        <v>Post-COVID</v>
      </c>
    </row>
    <row r="356" spans="1:39" x14ac:dyDescent="0.35">
      <c r="A356" t="s">
        <v>30</v>
      </c>
      <c r="B356">
        <v>2022</v>
      </c>
      <c r="C356" t="s">
        <v>46</v>
      </c>
      <c r="D356" s="4">
        <f>DATE(B356,MATCH(C356,{"January","February","March","April","May","June","July","August","September","October","November","December"},0),1)</f>
        <v>44896</v>
      </c>
      <c r="E356">
        <v>168.8</v>
      </c>
      <c r="F356">
        <v>206.9</v>
      </c>
      <c r="G356">
        <v>189.1</v>
      </c>
      <c r="H356">
        <v>173.4</v>
      </c>
      <c r="I356">
        <v>193.9</v>
      </c>
      <c r="J356">
        <v>156.69999999999999</v>
      </c>
      <c r="K356">
        <v>150.19999999999999</v>
      </c>
      <c r="L356">
        <v>170.5</v>
      </c>
      <c r="M356">
        <v>121.2</v>
      </c>
      <c r="N356">
        <v>207.5</v>
      </c>
      <c r="O356">
        <v>176.8</v>
      </c>
      <c r="P356">
        <v>187.7</v>
      </c>
      <c r="Q356">
        <v>174.4</v>
      </c>
      <c r="R356">
        <v>195.9</v>
      </c>
      <c r="S356">
        <v>188.1</v>
      </c>
      <c r="T356">
        <v>185.9</v>
      </c>
      <c r="U356">
        <v>187.8</v>
      </c>
      <c r="V356">
        <v>170.7</v>
      </c>
      <c r="W356">
        <v>182.8</v>
      </c>
      <c r="X356">
        <v>176.4</v>
      </c>
      <c r="Y356">
        <v>183.5</v>
      </c>
      <c r="Z356">
        <v>167.8</v>
      </c>
      <c r="AA356">
        <v>171.2</v>
      </c>
      <c r="AB356">
        <v>177.3</v>
      </c>
      <c r="AC356">
        <v>175.7</v>
      </c>
      <c r="AD356">
        <v>175.5</v>
      </c>
      <c r="AE356">
        <v>177.1</v>
      </c>
      <c r="AF356">
        <f t="shared" si="12"/>
        <v>175.22499999999999</v>
      </c>
      <c r="AG356">
        <v>195.9</v>
      </c>
      <c r="AH356">
        <f>AVERAGE(Table1[[#This Row],[Clothing]:[Footwear]])</f>
        <v>187</v>
      </c>
      <c r="AI356">
        <v>182.8</v>
      </c>
      <c r="AJ356">
        <v>176.4</v>
      </c>
      <c r="AK356">
        <v>167.8</v>
      </c>
      <c r="AL356">
        <v>171.2</v>
      </c>
      <c r="AM356" t="str">
        <f t="shared" si="13"/>
        <v>Post-COVID</v>
      </c>
    </row>
    <row r="357" spans="1:39" x14ac:dyDescent="0.35">
      <c r="A357" t="s">
        <v>33</v>
      </c>
      <c r="B357">
        <v>2022</v>
      </c>
      <c r="C357" t="s">
        <v>46</v>
      </c>
      <c r="D357" s="4">
        <f>DATE(B357,MATCH(C357,{"January","February","March","April","May","June","July","August","September","October","November","December"},0),1)</f>
        <v>44896</v>
      </c>
      <c r="E357">
        <v>170.2</v>
      </c>
      <c r="F357">
        <v>212.9</v>
      </c>
      <c r="G357">
        <v>191.9</v>
      </c>
      <c r="H357">
        <v>173.9</v>
      </c>
      <c r="I357">
        <v>179.1</v>
      </c>
      <c r="J357">
        <v>159.5</v>
      </c>
      <c r="K357">
        <v>178.7</v>
      </c>
      <c r="L357">
        <v>171.3</v>
      </c>
      <c r="M357">
        <v>123.1</v>
      </c>
      <c r="N357">
        <v>200.5</v>
      </c>
      <c r="O357">
        <v>162.80000000000001</v>
      </c>
      <c r="P357">
        <v>193.3</v>
      </c>
      <c r="Q357">
        <v>178.6</v>
      </c>
      <c r="R357">
        <v>201.1</v>
      </c>
      <c r="S357">
        <v>177.7</v>
      </c>
      <c r="T357">
        <v>164.5</v>
      </c>
      <c r="U357">
        <v>175.7</v>
      </c>
      <c r="V357">
        <v>170.7</v>
      </c>
      <c r="W357">
        <v>180.6</v>
      </c>
      <c r="X357">
        <v>167.3</v>
      </c>
      <c r="Y357">
        <v>177.2</v>
      </c>
      <c r="Z357">
        <v>159.4</v>
      </c>
      <c r="AA357">
        <v>167.1</v>
      </c>
      <c r="AB357">
        <v>171.8</v>
      </c>
      <c r="AC357">
        <v>176</v>
      </c>
      <c r="AD357">
        <v>168.2</v>
      </c>
      <c r="AE357">
        <v>174.1</v>
      </c>
      <c r="AF357">
        <f t="shared" si="12"/>
        <v>176.43333333333331</v>
      </c>
      <c r="AG357">
        <v>201.1</v>
      </c>
      <c r="AH357">
        <f>AVERAGE(Table1[[#This Row],[Clothing]:[Footwear]])</f>
        <v>171.1</v>
      </c>
      <c r="AI357">
        <v>180.6</v>
      </c>
      <c r="AJ357">
        <v>167.3</v>
      </c>
      <c r="AK357">
        <v>159.4</v>
      </c>
      <c r="AL357">
        <v>167.1</v>
      </c>
      <c r="AM357" t="str">
        <f t="shared" si="13"/>
        <v>Post-COVID</v>
      </c>
    </row>
    <row r="358" spans="1:39" x14ac:dyDescent="0.35">
      <c r="A358" t="s">
        <v>34</v>
      </c>
      <c r="B358">
        <v>2022</v>
      </c>
      <c r="C358" t="s">
        <v>46</v>
      </c>
      <c r="D358" s="4">
        <f>DATE(B358,MATCH(C358,{"January","February","March","April","May","June","July","August","September","October","November","December"},0),1)</f>
        <v>44896</v>
      </c>
      <c r="E358">
        <v>169.2</v>
      </c>
      <c r="F358">
        <v>209</v>
      </c>
      <c r="G358">
        <v>190.2</v>
      </c>
      <c r="H358">
        <v>173.6</v>
      </c>
      <c r="I358">
        <v>188.5</v>
      </c>
      <c r="J358">
        <v>158</v>
      </c>
      <c r="K358">
        <v>159.9</v>
      </c>
      <c r="L358">
        <v>170.8</v>
      </c>
      <c r="M358">
        <v>121.8</v>
      </c>
      <c r="N358">
        <v>205.2</v>
      </c>
      <c r="O358">
        <v>171</v>
      </c>
      <c r="P358">
        <v>190.3</v>
      </c>
      <c r="Q358">
        <v>175.9</v>
      </c>
      <c r="R358">
        <v>197.3</v>
      </c>
      <c r="S358">
        <v>184</v>
      </c>
      <c r="T358">
        <v>177</v>
      </c>
      <c r="U358">
        <v>183</v>
      </c>
      <c r="V358">
        <v>170.7</v>
      </c>
      <c r="W358">
        <v>182</v>
      </c>
      <c r="X358">
        <v>172.1</v>
      </c>
      <c r="Y358">
        <v>181.1</v>
      </c>
      <c r="Z358">
        <v>163.4</v>
      </c>
      <c r="AA358">
        <v>168.9</v>
      </c>
      <c r="AB358">
        <v>174.1</v>
      </c>
      <c r="AC358">
        <v>175.8</v>
      </c>
      <c r="AD358">
        <v>172</v>
      </c>
      <c r="AE358">
        <v>175.7</v>
      </c>
      <c r="AF358">
        <f t="shared" si="12"/>
        <v>175.625</v>
      </c>
      <c r="AG358">
        <v>197.3</v>
      </c>
      <c r="AH358">
        <f>AVERAGE(Table1[[#This Row],[Clothing]:[Footwear]])</f>
        <v>180.5</v>
      </c>
      <c r="AI358">
        <v>182</v>
      </c>
      <c r="AJ358">
        <v>172.1</v>
      </c>
      <c r="AK358">
        <v>163.4</v>
      </c>
      <c r="AL358">
        <v>168.9</v>
      </c>
      <c r="AM358" t="str">
        <f t="shared" si="13"/>
        <v>Post-COVID</v>
      </c>
    </row>
    <row r="359" spans="1:39" x14ac:dyDescent="0.35">
      <c r="A359" t="s">
        <v>30</v>
      </c>
      <c r="B359">
        <v>2023</v>
      </c>
      <c r="C359" t="s">
        <v>31</v>
      </c>
      <c r="D359" s="4">
        <f>DATE(B359,MATCH(C359,{"January","February","March","April","May","June","July","August","September","October","November","December"},0),1)</f>
        <v>44927</v>
      </c>
      <c r="E359">
        <v>174</v>
      </c>
      <c r="F359">
        <v>208.3</v>
      </c>
      <c r="G359">
        <v>192.9</v>
      </c>
      <c r="H359">
        <v>174.3</v>
      </c>
      <c r="I359">
        <v>192.6</v>
      </c>
      <c r="J359">
        <v>156.30000000000001</v>
      </c>
      <c r="K359">
        <v>142.9</v>
      </c>
      <c r="L359">
        <v>170.7</v>
      </c>
      <c r="M359">
        <v>120.3</v>
      </c>
      <c r="N359">
        <v>210.5</v>
      </c>
      <c r="O359">
        <v>176.9</v>
      </c>
      <c r="P359">
        <v>188.5</v>
      </c>
      <c r="Q359">
        <v>175</v>
      </c>
      <c r="R359">
        <v>196.9</v>
      </c>
      <c r="S359">
        <v>189</v>
      </c>
      <c r="T359">
        <v>186.3</v>
      </c>
      <c r="U359">
        <v>188.6</v>
      </c>
      <c r="V359">
        <v>172.1</v>
      </c>
      <c r="W359">
        <v>183.2</v>
      </c>
      <c r="X359">
        <v>177.2</v>
      </c>
      <c r="Y359">
        <v>184.7</v>
      </c>
      <c r="Z359">
        <v>168.2</v>
      </c>
      <c r="AA359">
        <v>171.8</v>
      </c>
      <c r="AB359">
        <v>177.8</v>
      </c>
      <c r="AC359">
        <v>178.4</v>
      </c>
      <c r="AD359">
        <v>176.5</v>
      </c>
      <c r="AE359">
        <v>177.8</v>
      </c>
      <c r="AF359">
        <f t="shared" si="12"/>
        <v>175.68333333333337</v>
      </c>
      <c r="AG359">
        <v>196.9</v>
      </c>
      <c r="AH359">
        <f>AVERAGE(Table1[[#This Row],[Clothing]:[Footwear]])</f>
        <v>187.65</v>
      </c>
      <c r="AI359">
        <v>183.2</v>
      </c>
      <c r="AJ359">
        <v>177.2</v>
      </c>
      <c r="AK359">
        <v>168.2</v>
      </c>
      <c r="AL359">
        <v>171.8</v>
      </c>
      <c r="AM359" t="str">
        <f t="shared" si="13"/>
        <v>Post-COVID</v>
      </c>
    </row>
    <row r="360" spans="1:39" x14ac:dyDescent="0.35">
      <c r="A360" t="s">
        <v>33</v>
      </c>
      <c r="B360">
        <v>2023</v>
      </c>
      <c r="C360" t="s">
        <v>31</v>
      </c>
      <c r="D360" s="4">
        <f>DATE(B360,MATCH(C360,{"January","February","March","April","May","June","July","August","September","October","November","December"},0),1)</f>
        <v>44927</v>
      </c>
      <c r="E360">
        <v>173.3</v>
      </c>
      <c r="F360">
        <v>215.2</v>
      </c>
      <c r="G360">
        <v>197</v>
      </c>
      <c r="H360">
        <v>175.2</v>
      </c>
      <c r="I360">
        <v>178</v>
      </c>
      <c r="J360">
        <v>160.5</v>
      </c>
      <c r="K360">
        <v>175.3</v>
      </c>
      <c r="L360">
        <v>171.2</v>
      </c>
      <c r="M360">
        <v>122.7</v>
      </c>
      <c r="N360">
        <v>204.3</v>
      </c>
      <c r="O360">
        <v>163.69999999999999</v>
      </c>
      <c r="P360">
        <v>194.3</v>
      </c>
      <c r="Q360">
        <v>179.5</v>
      </c>
      <c r="R360">
        <v>201.6</v>
      </c>
      <c r="S360">
        <v>178.7</v>
      </c>
      <c r="T360">
        <v>165.3</v>
      </c>
      <c r="U360">
        <v>176.6</v>
      </c>
      <c r="V360">
        <v>172.1</v>
      </c>
      <c r="W360">
        <v>180.1</v>
      </c>
      <c r="X360">
        <v>168</v>
      </c>
      <c r="Y360">
        <v>178.5</v>
      </c>
      <c r="Z360">
        <v>159.5</v>
      </c>
      <c r="AA360">
        <v>167.8</v>
      </c>
      <c r="AB360">
        <v>171.8</v>
      </c>
      <c r="AC360">
        <v>178.8</v>
      </c>
      <c r="AD360">
        <v>168.9</v>
      </c>
      <c r="AE360">
        <v>174.9</v>
      </c>
      <c r="AF360">
        <f t="shared" si="12"/>
        <v>177.55833333333337</v>
      </c>
      <c r="AG360">
        <v>201.6</v>
      </c>
      <c r="AH360">
        <f>AVERAGE(Table1[[#This Row],[Clothing]:[Footwear]])</f>
        <v>172</v>
      </c>
      <c r="AI360">
        <v>180.1</v>
      </c>
      <c r="AJ360">
        <v>168</v>
      </c>
      <c r="AK360">
        <v>159.5</v>
      </c>
      <c r="AL360">
        <v>167.8</v>
      </c>
      <c r="AM360" t="str">
        <f t="shared" si="13"/>
        <v>Post-COVID</v>
      </c>
    </row>
    <row r="361" spans="1:39" x14ac:dyDescent="0.35">
      <c r="A361" t="s">
        <v>34</v>
      </c>
      <c r="B361">
        <v>2023</v>
      </c>
      <c r="C361" t="s">
        <v>31</v>
      </c>
      <c r="D361" s="4">
        <f>DATE(B361,MATCH(C361,{"January","February","March","April","May","June","July","August","September","October","November","December"},0),1)</f>
        <v>44927</v>
      </c>
      <c r="E361">
        <v>173.8</v>
      </c>
      <c r="F361">
        <v>210.7</v>
      </c>
      <c r="G361">
        <v>194.5</v>
      </c>
      <c r="H361">
        <v>174.6</v>
      </c>
      <c r="I361">
        <v>187.2</v>
      </c>
      <c r="J361">
        <v>158.30000000000001</v>
      </c>
      <c r="K361">
        <v>153.9</v>
      </c>
      <c r="L361">
        <v>170.9</v>
      </c>
      <c r="M361">
        <v>121.1</v>
      </c>
      <c r="N361">
        <v>208.4</v>
      </c>
      <c r="O361">
        <v>171.4</v>
      </c>
      <c r="P361">
        <v>191.2</v>
      </c>
      <c r="Q361">
        <v>176.7</v>
      </c>
      <c r="R361">
        <v>198.2</v>
      </c>
      <c r="S361">
        <v>184.9</v>
      </c>
      <c r="T361">
        <v>177.6</v>
      </c>
      <c r="U361">
        <v>183.8</v>
      </c>
      <c r="V361">
        <v>172.1</v>
      </c>
      <c r="W361">
        <v>182</v>
      </c>
      <c r="X361">
        <v>172.9</v>
      </c>
      <c r="Y361">
        <v>182.3</v>
      </c>
      <c r="Z361">
        <v>163.6</v>
      </c>
      <c r="AA361">
        <v>169.5</v>
      </c>
      <c r="AB361">
        <v>174.3</v>
      </c>
      <c r="AC361">
        <v>178.6</v>
      </c>
      <c r="AD361">
        <v>172.8</v>
      </c>
      <c r="AE361">
        <v>176.5</v>
      </c>
      <c r="AF361">
        <f t="shared" si="12"/>
        <v>176.33333333333334</v>
      </c>
      <c r="AG361">
        <v>198.2</v>
      </c>
      <c r="AH361">
        <f>AVERAGE(Table1[[#This Row],[Clothing]:[Footwear]])</f>
        <v>181.25</v>
      </c>
      <c r="AI361">
        <v>182</v>
      </c>
      <c r="AJ361">
        <v>172.9</v>
      </c>
      <c r="AK361">
        <v>163.6</v>
      </c>
      <c r="AL361">
        <v>169.5</v>
      </c>
      <c r="AM361" t="str">
        <f t="shared" si="13"/>
        <v>Post-COVID</v>
      </c>
    </row>
    <row r="362" spans="1:39" x14ac:dyDescent="0.35">
      <c r="A362" t="s">
        <v>30</v>
      </c>
      <c r="B362">
        <v>2023</v>
      </c>
      <c r="C362" t="s">
        <v>35</v>
      </c>
      <c r="D362" s="4">
        <f>DATE(B362,MATCH(C362,{"January","February","March","April","May","June","July","August","September","October","November","December"},0),1)</f>
        <v>44958</v>
      </c>
      <c r="E362">
        <v>174.2</v>
      </c>
      <c r="F362">
        <v>205.2</v>
      </c>
      <c r="G362">
        <v>173.9</v>
      </c>
      <c r="H362">
        <v>177</v>
      </c>
      <c r="I362">
        <v>183.4</v>
      </c>
      <c r="J362">
        <v>167.2</v>
      </c>
      <c r="K362">
        <v>140.9</v>
      </c>
      <c r="L362">
        <v>170.4</v>
      </c>
      <c r="M362">
        <v>119.1</v>
      </c>
      <c r="N362">
        <v>212.1</v>
      </c>
      <c r="O362">
        <v>177.6</v>
      </c>
      <c r="P362">
        <v>189.9</v>
      </c>
      <c r="Q362">
        <v>174.8</v>
      </c>
      <c r="R362">
        <v>198.3</v>
      </c>
      <c r="S362">
        <v>190</v>
      </c>
      <c r="T362">
        <v>187</v>
      </c>
      <c r="U362">
        <v>189.6</v>
      </c>
      <c r="V362">
        <v>173.5</v>
      </c>
      <c r="W362">
        <v>181.6</v>
      </c>
      <c r="X362">
        <v>178.6</v>
      </c>
      <c r="Y362">
        <v>186.6</v>
      </c>
      <c r="Z362">
        <v>169</v>
      </c>
      <c r="AA362">
        <v>172.8</v>
      </c>
      <c r="AB362">
        <v>178.5</v>
      </c>
      <c r="AC362">
        <v>180.7</v>
      </c>
      <c r="AD362">
        <v>177.9</v>
      </c>
      <c r="AE362">
        <v>178</v>
      </c>
      <c r="AF362">
        <f t="shared" si="12"/>
        <v>174.24166666666665</v>
      </c>
      <c r="AG362">
        <v>198.3</v>
      </c>
      <c r="AH362">
        <f>AVERAGE(Table1[[#This Row],[Clothing]:[Footwear]])</f>
        <v>188.5</v>
      </c>
      <c r="AI362">
        <v>181.6</v>
      </c>
      <c r="AJ362">
        <v>178.6</v>
      </c>
      <c r="AK362">
        <v>169</v>
      </c>
      <c r="AL362">
        <v>172.8</v>
      </c>
      <c r="AM362" t="str">
        <f t="shared" si="13"/>
        <v>Post-COVID</v>
      </c>
    </row>
    <row r="363" spans="1:39" x14ac:dyDescent="0.35">
      <c r="A363" t="s">
        <v>33</v>
      </c>
      <c r="B363">
        <v>2023</v>
      </c>
      <c r="C363" t="s">
        <v>35</v>
      </c>
      <c r="D363" s="4">
        <f>DATE(B363,MATCH(C363,{"January","February","March","April","May","June","July","August","September","October","November","December"},0),1)</f>
        <v>44958</v>
      </c>
      <c r="E363">
        <v>174.7</v>
      </c>
      <c r="F363">
        <v>212.2</v>
      </c>
      <c r="G363">
        <v>177.2</v>
      </c>
      <c r="H363">
        <v>177.9</v>
      </c>
      <c r="I363">
        <v>172.2</v>
      </c>
      <c r="J363">
        <v>172.1</v>
      </c>
      <c r="K363">
        <v>175.8</v>
      </c>
      <c r="L363">
        <v>172.2</v>
      </c>
      <c r="M363">
        <v>121.9</v>
      </c>
      <c r="N363">
        <v>204.8</v>
      </c>
      <c r="O363">
        <v>164.9</v>
      </c>
      <c r="P363">
        <v>196.6</v>
      </c>
      <c r="Q363">
        <v>180.7</v>
      </c>
      <c r="R363">
        <v>202.7</v>
      </c>
      <c r="S363">
        <v>180.3</v>
      </c>
      <c r="T363">
        <v>167</v>
      </c>
      <c r="U363">
        <v>178.2</v>
      </c>
      <c r="V363">
        <v>173.5</v>
      </c>
      <c r="W363">
        <v>182.8</v>
      </c>
      <c r="X363">
        <v>169.2</v>
      </c>
      <c r="Y363">
        <v>180.8</v>
      </c>
      <c r="Z363">
        <v>159.80000000000001</v>
      </c>
      <c r="AA363">
        <v>168.4</v>
      </c>
      <c r="AB363">
        <v>172.5</v>
      </c>
      <c r="AC363">
        <v>181.4</v>
      </c>
      <c r="AD363">
        <v>170</v>
      </c>
      <c r="AE363">
        <v>176.3</v>
      </c>
      <c r="AF363">
        <f t="shared" si="12"/>
        <v>176.875</v>
      </c>
      <c r="AG363">
        <v>202.7</v>
      </c>
      <c r="AH363">
        <f>AVERAGE(Table1[[#This Row],[Clothing]:[Footwear]])</f>
        <v>173.65</v>
      </c>
      <c r="AI363">
        <v>182.8</v>
      </c>
      <c r="AJ363">
        <v>169.2</v>
      </c>
      <c r="AK363">
        <v>159.80000000000001</v>
      </c>
      <c r="AL363">
        <v>168.4</v>
      </c>
      <c r="AM363" t="str">
        <f t="shared" si="13"/>
        <v>Post-COVID</v>
      </c>
    </row>
    <row r="364" spans="1:39" x14ac:dyDescent="0.35">
      <c r="A364" t="s">
        <v>34</v>
      </c>
      <c r="B364">
        <v>2023</v>
      </c>
      <c r="C364" t="s">
        <v>35</v>
      </c>
      <c r="D364" s="4">
        <f>DATE(B364,MATCH(C364,{"January","February","March","April","May","June","July","August","September","October","November","December"},0),1)</f>
        <v>44958</v>
      </c>
      <c r="E364">
        <v>174.4</v>
      </c>
      <c r="F364">
        <v>207.7</v>
      </c>
      <c r="G364">
        <v>175.2</v>
      </c>
      <c r="H364">
        <v>177.3</v>
      </c>
      <c r="I364">
        <v>179.3</v>
      </c>
      <c r="J364">
        <v>169.5</v>
      </c>
      <c r="K364">
        <v>152.69999999999999</v>
      </c>
      <c r="L364">
        <v>171</v>
      </c>
      <c r="M364">
        <v>120</v>
      </c>
      <c r="N364">
        <v>209.7</v>
      </c>
      <c r="O364">
        <v>172.3</v>
      </c>
      <c r="P364">
        <v>193</v>
      </c>
      <c r="Q364">
        <v>177</v>
      </c>
      <c r="R364">
        <v>199.5</v>
      </c>
      <c r="S364">
        <v>186.2</v>
      </c>
      <c r="T364">
        <v>178.7</v>
      </c>
      <c r="U364">
        <v>185.1</v>
      </c>
      <c r="V364">
        <v>173.5</v>
      </c>
      <c r="W364">
        <v>182.1</v>
      </c>
      <c r="X364">
        <v>174.2</v>
      </c>
      <c r="Y364">
        <v>184.4</v>
      </c>
      <c r="Z364">
        <v>164.2</v>
      </c>
      <c r="AA364">
        <v>170.3</v>
      </c>
      <c r="AB364">
        <v>175</v>
      </c>
      <c r="AC364">
        <v>181</v>
      </c>
      <c r="AD364">
        <v>174.1</v>
      </c>
      <c r="AE364">
        <v>177.2</v>
      </c>
      <c r="AF364">
        <f t="shared" si="12"/>
        <v>175.17499999999998</v>
      </c>
      <c r="AG364">
        <v>199.5</v>
      </c>
      <c r="AH364">
        <f>AVERAGE(Table1[[#This Row],[Clothing]:[Footwear]])</f>
        <v>182.45</v>
      </c>
      <c r="AI364">
        <v>182.1</v>
      </c>
      <c r="AJ364">
        <v>174.2</v>
      </c>
      <c r="AK364">
        <v>164.2</v>
      </c>
      <c r="AL364">
        <v>170.3</v>
      </c>
      <c r="AM364" t="str">
        <f t="shared" si="13"/>
        <v>Post-COVID</v>
      </c>
    </row>
    <row r="365" spans="1:39" x14ac:dyDescent="0.35">
      <c r="A365" t="s">
        <v>30</v>
      </c>
      <c r="B365">
        <v>2023</v>
      </c>
      <c r="C365" t="s">
        <v>36</v>
      </c>
      <c r="D365" s="4">
        <f>DATE(B365,MATCH(C365,{"January","February","March","April","May","June","July","August","September","October","November","December"},0),1)</f>
        <v>44986</v>
      </c>
      <c r="E365">
        <v>174.3</v>
      </c>
      <c r="F365">
        <v>205.2</v>
      </c>
      <c r="G365">
        <v>173.9</v>
      </c>
      <c r="H365">
        <v>177</v>
      </c>
      <c r="I365">
        <v>183.3</v>
      </c>
      <c r="J365">
        <v>167.2</v>
      </c>
      <c r="K365">
        <v>140.9</v>
      </c>
      <c r="L365">
        <v>170.5</v>
      </c>
      <c r="M365">
        <v>119.1</v>
      </c>
      <c r="N365">
        <v>212.1</v>
      </c>
      <c r="O365">
        <v>177.6</v>
      </c>
      <c r="P365">
        <v>189.9</v>
      </c>
      <c r="Q365">
        <v>174.8</v>
      </c>
      <c r="R365">
        <v>198.4</v>
      </c>
      <c r="S365">
        <v>190</v>
      </c>
      <c r="T365">
        <v>187</v>
      </c>
      <c r="U365">
        <v>189.6</v>
      </c>
      <c r="V365">
        <v>173.5</v>
      </c>
      <c r="W365">
        <v>181.4</v>
      </c>
      <c r="X365">
        <v>178.6</v>
      </c>
      <c r="Y365">
        <v>186.6</v>
      </c>
      <c r="Z365">
        <v>169</v>
      </c>
      <c r="AA365">
        <v>172.8</v>
      </c>
      <c r="AB365">
        <v>178.5</v>
      </c>
      <c r="AC365">
        <v>180.7</v>
      </c>
      <c r="AD365">
        <v>177.9</v>
      </c>
      <c r="AE365">
        <v>178</v>
      </c>
      <c r="AF365">
        <f t="shared" si="12"/>
        <v>174.25</v>
      </c>
      <c r="AG365">
        <v>198.4</v>
      </c>
      <c r="AH365">
        <f>AVERAGE(Table1[[#This Row],[Clothing]:[Footwear]])</f>
        <v>188.5</v>
      </c>
      <c r="AI365">
        <v>181.4</v>
      </c>
      <c r="AJ365">
        <v>178.6</v>
      </c>
      <c r="AK365">
        <v>169</v>
      </c>
      <c r="AL365">
        <v>172.8</v>
      </c>
      <c r="AM365" t="str">
        <f t="shared" si="13"/>
        <v>Post-COVID</v>
      </c>
    </row>
    <row r="366" spans="1:39" x14ac:dyDescent="0.35">
      <c r="A366" t="s">
        <v>33</v>
      </c>
      <c r="B366">
        <v>2023</v>
      </c>
      <c r="C366" t="s">
        <v>36</v>
      </c>
      <c r="D366" s="4">
        <f>DATE(B366,MATCH(C366,{"January","February","March","April","May","June","July","August","September","October","November","December"},0),1)</f>
        <v>44986</v>
      </c>
      <c r="E366">
        <v>174.7</v>
      </c>
      <c r="F366">
        <v>212.2</v>
      </c>
      <c r="G366">
        <v>177.2</v>
      </c>
      <c r="H366">
        <v>177.9</v>
      </c>
      <c r="I366">
        <v>172.2</v>
      </c>
      <c r="J366">
        <v>172.1</v>
      </c>
      <c r="K366">
        <v>175.9</v>
      </c>
      <c r="L366">
        <v>172.2</v>
      </c>
      <c r="M366">
        <v>121.9</v>
      </c>
      <c r="N366">
        <v>204.8</v>
      </c>
      <c r="O366">
        <v>164.9</v>
      </c>
      <c r="P366">
        <v>196.6</v>
      </c>
      <c r="Q366">
        <v>180.8</v>
      </c>
      <c r="R366">
        <v>202.7</v>
      </c>
      <c r="S366">
        <v>180.2</v>
      </c>
      <c r="T366">
        <v>167</v>
      </c>
      <c r="U366">
        <v>178.2</v>
      </c>
      <c r="V366">
        <v>173.5</v>
      </c>
      <c r="W366">
        <v>182.6</v>
      </c>
      <c r="X366">
        <v>169.2</v>
      </c>
      <c r="Y366">
        <v>180.8</v>
      </c>
      <c r="Z366">
        <v>159.80000000000001</v>
      </c>
      <c r="AA366">
        <v>168.4</v>
      </c>
      <c r="AB366">
        <v>172.5</v>
      </c>
      <c r="AC366">
        <v>181.5</v>
      </c>
      <c r="AD366">
        <v>170</v>
      </c>
      <c r="AE366">
        <v>176.3</v>
      </c>
      <c r="AF366">
        <f t="shared" si="12"/>
        <v>176.88333333333333</v>
      </c>
      <c r="AG366">
        <v>202.7</v>
      </c>
      <c r="AH366">
        <f>AVERAGE(Table1[[#This Row],[Clothing]:[Footwear]])</f>
        <v>173.6</v>
      </c>
      <c r="AI366">
        <v>182.6</v>
      </c>
      <c r="AJ366">
        <v>169.2</v>
      </c>
      <c r="AK366">
        <v>159.80000000000001</v>
      </c>
      <c r="AL366">
        <v>168.4</v>
      </c>
      <c r="AM366" t="str">
        <f t="shared" si="13"/>
        <v>Post-COVID</v>
      </c>
    </row>
    <row r="367" spans="1:39" x14ac:dyDescent="0.35">
      <c r="A367" t="s">
        <v>34</v>
      </c>
      <c r="B367">
        <v>2023</v>
      </c>
      <c r="C367" t="s">
        <v>36</v>
      </c>
      <c r="D367" s="4">
        <f>DATE(B367,MATCH(C367,{"January","February","March","April","May","June","July","August","September","October","November","December"},0),1)</f>
        <v>44986</v>
      </c>
      <c r="E367">
        <v>174.4</v>
      </c>
      <c r="F367">
        <v>207.7</v>
      </c>
      <c r="G367">
        <v>175.2</v>
      </c>
      <c r="H367">
        <v>177.3</v>
      </c>
      <c r="I367">
        <v>179.2</v>
      </c>
      <c r="J367">
        <v>169.5</v>
      </c>
      <c r="K367">
        <v>152.80000000000001</v>
      </c>
      <c r="L367">
        <v>171.1</v>
      </c>
      <c r="M367">
        <v>120</v>
      </c>
      <c r="N367">
        <v>209.7</v>
      </c>
      <c r="O367">
        <v>172.3</v>
      </c>
      <c r="P367">
        <v>193</v>
      </c>
      <c r="Q367">
        <v>177</v>
      </c>
      <c r="R367">
        <v>199.5</v>
      </c>
      <c r="S367">
        <v>186.1</v>
      </c>
      <c r="T367">
        <v>178.7</v>
      </c>
      <c r="U367">
        <v>185.1</v>
      </c>
      <c r="V367">
        <v>173.5</v>
      </c>
      <c r="W367">
        <v>181.9</v>
      </c>
      <c r="X367">
        <v>174.2</v>
      </c>
      <c r="Y367">
        <v>184.4</v>
      </c>
      <c r="Z367">
        <v>164.2</v>
      </c>
      <c r="AA367">
        <v>170.3</v>
      </c>
      <c r="AB367">
        <v>175</v>
      </c>
      <c r="AC367">
        <v>181</v>
      </c>
      <c r="AD367">
        <v>174.1</v>
      </c>
      <c r="AE367">
        <v>177.2</v>
      </c>
      <c r="AF367">
        <f t="shared" si="12"/>
        <v>175.18333333333331</v>
      </c>
      <c r="AG367">
        <v>199.5</v>
      </c>
      <c r="AH367">
        <f>AVERAGE(Table1[[#This Row],[Clothing]:[Footwear]])</f>
        <v>182.39999999999998</v>
      </c>
      <c r="AI367">
        <v>181.9</v>
      </c>
      <c r="AJ367">
        <v>174.2</v>
      </c>
      <c r="AK367">
        <v>164.2</v>
      </c>
      <c r="AL367">
        <v>170.3</v>
      </c>
      <c r="AM367" t="str">
        <f t="shared" si="13"/>
        <v>Post-COVID</v>
      </c>
    </row>
    <row r="368" spans="1:39" x14ac:dyDescent="0.35">
      <c r="A368" t="s">
        <v>30</v>
      </c>
      <c r="B368">
        <v>2023</v>
      </c>
      <c r="C368" t="s">
        <v>37</v>
      </c>
      <c r="D368" s="4">
        <f>DATE(B368,MATCH(C368,{"January","February","March","April","May","June","July","August","September","October","November","December"},0),1)</f>
        <v>45017</v>
      </c>
      <c r="E368">
        <v>173.3</v>
      </c>
      <c r="F368">
        <v>206.9</v>
      </c>
      <c r="G368">
        <v>167.9</v>
      </c>
      <c r="H368">
        <v>178.2</v>
      </c>
      <c r="I368">
        <v>178.5</v>
      </c>
      <c r="J368">
        <v>173.7</v>
      </c>
      <c r="K368">
        <v>142.80000000000001</v>
      </c>
      <c r="L368">
        <v>172.8</v>
      </c>
      <c r="M368">
        <v>120.4</v>
      </c>
      <c r="N368">
        <v>215.5</v>
      </c>
      <c r="O368">
        <v>178.2</v>
      </c>
      <c r="P368">
        <v>190.5</v>
      </c>
      <c r="Q368">
        <v>175.5</v>
      </c>
      <c r="R368">
        <v>199.5</v>
      </c>
      <c r="S368">
        <v>190.7</v>
      </c>
      <c r="T368">
        <v>187.3</v>
      </c>
      <c r="U368">
        <v>190.2</v>
      </c>
      <c r="V368">
        <v>175.2</v>
      </c>
      <c r="W368">
        <v>181.5</v>
      </c>
      <c r="X368">
        <v>179.1</v>
      </c>
      <c r="Y368">
        <v>187.2</v>
      </c>
      <c r="Z368">
        <v>169.4</v>
      </c>
      <c r="AA368">
        <v>173.2</v>
      </c>
      <c r="AB368">
        <v>179.4</v>
      </c>
      <c r="AC368">
        <v>183.8</v>
      </c>
      <c r="AD368">
        <v>178.9</v>
      </c>
      <c r="AE368">
        <v>178.8</v>
      </c>
      <c r="AF368">
        <f t="shared" si="12"/>
        <v>174.89166666666665</v>
      </c>
      <c r="AG368">
        <v>199.5</v>
      </c>
      <c r="AH368">
        <f>AVERAGE(Table1[[#This Row],[Clothing]:[Footwear]])</f>
        <v>189</v>
      </c>
      <c r="AI368">
        <v>181.5</v>
      </c>
      <c r="AJ368">
        <v>179.1</v>
      </c>
      <c r="AK368">
        <v>169.4</v>
      </c>
      <c r="AL368">
        <v>173.2</v>
      </c>
      <c r="AM368" t="str">
        <f t="shared" si="13"/>
        <v>Post-COVID</v>
      </c>
    </row>
    <row r="369" spans="1:39" x14ac:dyDescent="0.35">
      <c r="A369" t="s">
        <v>33</v>
      </c>
      <c r="B369">
        <v>2023</v>
      </c>
      <c r="C369" t="s">
        <v>37</v>
      </c>
      <c r="D369" s="4">
        <f>DATE(B369,MATCH(C369,{"January","February","March","April","May","June","July","August","September","October","November","December"},0),1)</f>
        <v>45017</v>
      </c>
      <c r="E369">
        <v>174.8</v>
      </c>
      <c r="F369">
        <v>213.7</v>
      </c>
      <c r="G369">
        <v>172.4</v>
      </c>
      <c r="H369">
        <v>178.8</v>
      </c>
      <c r="I369">
        <v>168.7</v>
      </c>
      <c r="J369">
        <v>179.2</v>
      </c>
      <c r="K369">
        <v>179.9</v>
      </c>
      <c r="L369">
        <v>174.7</v>
      </c>
      <c r="M369">
        <v>123.1</v>
      </c>
      <c r="N369">
        <v>207.8</v>
      </c>
      <c r="O369">
        <v>165.5</v>
      </c>
      <c r="P369">
        <v>197</v>
      </c>
      <c r="Q369">
        <v>182.1</v>
      </c>
      <c r="R369">
        <v>203.5</v>
      </c>
      <c r="S369">
        <v>181</v>
      </c>
      <c r="T369">
        <v>167.7</v>
      </c>
      <c r="U369">
        <v>178.9</v>
      </c>
      <c r="V369">
        <v>175.2</v>
      </c>
      <c r="W369">
        <v>182.1</v>
      </c>
      <c r="X369">
        <v>169.6</v>
      </c>
      <c r="Y369">
        <v>181.5</v>
      </c>
      <c r="Z369">
        <v>160.1</v>
      </c>
      <c r="AA369">
        <v>168.8</v>
      </c>
      <c r="AB369">
        <v>174.2</v>
      </c>
      <c r="AC369">
        <v>184.4</v>
      </c>
      <c r="AD369">
        <v>170.9</v>
      </c>
      <c r="AE369">
        <v>177.4</v>
      </c>
      <c r="AF369">
        <f t="shared" si="12"/>
        <v>177.9666666666667</v>
      </c>
      <c r="AG369">
        <v>203.5</v>
      </c>
      <c r="AH369">
        <f>AVERAGE(Table1[[#This Row],[Clothing]:[Footwear]])</f>
        <v>174.35</v>
      </c>
      <c r="AI369">
        <v>182.1</v>
      </c>
      <c r="AJ369">
        <v>169.6</v>
      </c>
      <c r="AK369">
        <v>160.1</v>
      </c>
      <c r="AL369">
        <v>168.8</v>
      </c>
      <c r="AM369" t="str">
        <f t="shared" si="13"/>
        <v>Post-COVID</v>
      </c>
    </row>
    <row r="370" spans="1:39" x14ac:dyDescent="0.35">
      <c r="A370" t="s">
        <v>34</v>
      </c>
      <c r="B370">
        <v>2023</v>
      </c>
      <c r="C370" t="s">
        <v>37</v>
      </c>
      <c r="D370" s="4">
        <f>DATE(B370,MATCH(C370,{"January","February","March","April","May","June","July","August","September","October","November","December"},0),1)</f>
        <v>45017</v>
      </c>
      <c r="E370">
        <v>173.8</v>
      </c>
      <c r="F370">
        <v>209.3</v>
      </c>
      <c r="G370">
        <v>169.6</v>
      </c>
      <c r="H370">
        <v>178.4</v>
      </c>
      <c r="I370">
        <v>174.9</v>
      </c>
      <c r="J370">
        <v>176.3</v>
      </c>
      <c r="K370">
        <v>155.4</v>
      </c>
      <c r="L370">
        <v>173.4</v>
      </c>
      <c r="M370">
        <v>121.3</v>
      </c>
      <c r="N370">
        <v>212.9</v>
      </c>
      <c r="O370">
        <v>172.9</v>
      </c>
      <c r="P370">
        <v>193.5</v>
      </c>
      <c r="Q370">
        <v>177.9</v>
      </c>
      <c r="R370">
        <v>200.6</v>
      </c>
      <c r="S370">
        <v>186.9</v>
      </c>
      <c r="T370">
        <v>179.2</v>
      </c>
      <c r="U370">
        <v>185.7</v>
      </c>
      <c r="V370">
        <v>175.2</v>
      </c>
      <c r="W370">
        <v>181.7</v>
      </c>
      <c r="X370">
        <v>174.6</v>
      </c>
      <c r="Y370">
        <v>185</v>
      </c>
      <c r="Z370">
        <v>164.5</v>
      </c>
      <c r="AA370">
        <v>170.7</v>
      </c>
      <c r="AB370">
        <v>176.4</v>
      </c>
      <c r="AC370">
        <v>184</v>
      </c>
      <c r="AD370">
        <v>175</v>
      </c>
      <c r="AE370">
        <v>178.1</v>
      </c>
      <c r="AF370">
        <f t="shared" si="12"/>
        <v>175.97500000000002</v>
      </c>
      <c r="AG370">
        <v>200.6</v>
      </c>
      <c r="AH370">
        <f>AVERAGE(Table1[[#This Row],[Clothing]:[Footwear]])</f>
        <v>183.05</v>
      </c>
      <c r="AI370">
        <v>181.7</v>
      </c>
      <c r="AJ370">
        <v>174.6</v>
      </c>
      <c r="AK370">
        <v>164.5</v>
      </c>
      <c r="AL370">
        <v>170.7</v>
      </c>
      <c r="AM370" t="str">
        <f t="shared" si="13"/>
        <v>Post-COVID</v>
      </c>
    </row>
    <row r="371" spans="1:39" x14ac:dyDescent="0.35">
      <c r="A371" t="s">
        <v>30</v>
      </c>
      <c r="B371">
        <v>2023</v>
      </c>
      <c r="C371" t="s">
        <v>38</v>
      </c>
      <c r="D371" s="4">
        <f>DATE(B371,MATCH(C371,{"January","February","March","April","May","June","July","August","September","October","November","December"},0),1)</f>
        <v>45047</v>
      </c>
      <c r="E371">
        <v>173.2</v>
      </c>
      <c r="F371">
        <v>211.5</v>
      </c>
      <c r="G371">
        <v>171</v>
      </c>
      <c r="H371">
        <v>179.6</v>
      </c>
      <c r="I371">
        <v>173.3</v>
      </c>
      <c r="J371">
        <v>169</v>
      </c>
      <c r="K371">
        <v>148.69999999999999</v>
      </c>
      <c r="L371">
        <v>174.9</v>
      </c>
      <c r="M371">
        <v>121.9</v>
      </c>
      <c r="N371">
        <v>221</v>
      </c>
      <c r="O371">
        <v>178.7</v>
      </c>
      <c r="P371">
        <v>191.1</v>
      </c>
      <c r="Q371">
        <v>176.8</v>
      </c>
      <c r="R371">
        <v>199.9</v>
      </c>
      <c r="S371">
        <v>191.2</v>
      </c>
      <c r="T371">
        <v>187.9</v>
      </c>
      <c r="U371">
        <v>190.8</v>
      </c>
      <c r="V371">
        <v>175.6</v>
      </c>
      <c r="W371">
        <v>182.5</v>
      </c>
      <c r="X371">
        <v>179.8</v>
      </c>
      <c r="Y371">
        <v>187.8</v>
      </c>
      <c r="Z371">
        <v>169.7</v>
      </c>
      <c r="AA371">
        <v>173.8</v>
      </c>
      <c r="AB371">
        <v>180.3</v>
      </c>
      <c r="AC371">
        <v>184.9</v>
      </c>
      <c r="AD371">
        <v>179.5</v>
      </c>
      <c r="AE371">
        <v>179.8</v>
      </c>
      <c r="AF371">
        <f t="shared" si="12"/>
        <v>176.15833333333339</v>
      </c>
      <c r="AG371">
        <v>199.9</v>
      </c>
      <c r="AH371">
        <f>AVERAGE(Table1[[#This Row],[Clothing]:[Footwear]])</f>
        <v>189.55</v>
      </c>
      <c r="AI371">
        <v>182.5</v>
      </c>
      <c r="AJ371">
        <v>179.8</v>
      </c>
      <c r="AK371">
        <v>169.7</v>
      </c>
      <c r="AL371">
        <v>173.8</v>
      </c>
      <c r="AM371" t="str">
        <f t="shared" si="13"/>
        <v>Post-COVID</v>
      </c>
    </row>
    <row r="372" spans="1:39" x14ac:dyDescent="0.35">
      <c r="A372" t="s">
        <v>33</v>
      </c>
      <c r="B372">
        <v>2023</v>
      </c>
      <c r="C372" t="s">
        <v>38</v>
      </c>
      <c r="D372" s="4">
        <f>DATE(B372,MATCH(C372,{"January","February","March","April","May","June","July","August","September","October","November","December"},0),1)</f>
        <v>45047</v>
      </c>
      <c r="E372">
        <v>174.7</v>
      </c>
      <c r="F372">
        <v>219.4</v>
      </c>
      <c r="G372">
        <v>176.7</v>
      </c>
      <c r="H372">
        <v>179.4</v>
      </c>
      <c r="I372">
        <v>164.4</v>
      </c>
      <c r="J372">
        <v>175.8</v>
      </c>
      <c r="K372">
        <v>185</v>
      </c>
      <c r="L372">
        <v>176.9</v>
      </c>
      <c r="M372">
        <v>124.2</v>
      </c>
      <c r="N372">
        <v>211.9</v>
      </c>
      <c r="O372">
        <v>165.9</v>
      </c>
      <c r="P372">
        <v>197.7</v>
      </c>
      <c r="Q372">
        <v>183.1</v>
      </c>
      <c r="R372">
        <v>204.2</v>
      </c>
      <c r="S372">
        <v>181.3</v>
      </c>
      <c r="T372">
        <v>168.1</v>
      </c>
      <c r="U372">
        <v>179.3</v>
      </c>
      <c r="V372">
        <v>175.6</v>
      </c>
      <c r="W372">
        <v>183.4</v>
      </c>
      <c r="X372">
        <v>170.1</v>
      </c>
      <c r="Y372">
        <v>182.2</v>
      </c>
      <c r="Z372">
        <v>160.4</v>
      </c>
      <c r="AA372">
        <v>169.2</v>
      </c>
      <c r="AB372">
        <v>174.8</v>
      </c>
      <c r="AC372">
        <v>185.6</v>
      </c>
      <c r="AD372">
        <v>171.6</v>
      </c>
      <c r="AE372">
        <v>178.2</v>
      </c>
      <c r="AF372">
        <f t="shared" si="12"/>
        <v>179.33333333333334</v>
      </c>
      <c r="AG372">
        <v>204.2</v>
      </c>
      <c r="AH372">
        <f>AVERAGE(Table1[[#This Row],[Clothing]:[Footwear]])</f>
        <v>174.7</v>
      </c>
      <c r="AI372">
        <v>183.4</v>
      </c>
      <c r="AJ372">
        <v>170.1</v>
      </c>
      <c r="AK372">
        <v>160.4</v>
      </c>
      <c r="AL372">
        <v>169.2</v>
      </c>
      <c r="AM372" t="str">
        <f t="shared" si="13"/>
        <v>Post-COVID</v>
      </c>
    </row>
    <row r="373" spans="1:39" x14ac:dyDescent="0.35">
      <c r="A373" t="s">
        <v>34</v>
      </c>
      <c r="B373">
        <v>2023</v>
      </c>
      <c r="C373" t="s">
        <v>38</v>
      </c>
      <c r="D373" s="4">
        <f>DATE(B373,MATCH(C373,{"January","February","March","April","May","June","July","August","September","October","November","December"},0),1)</f>
        <v>45047</v>
      </c>
      <c r="E373">
        <v>173.7</v>
      </c>
      <c r="F373">
        <v>214.3</v>
      </c>
      <c r="G373">
        <v>173.2</v>
      </c>
      <c r="H373">
        <v>179.5</v>
      </c>
      <c r="I373">
        <v>170</v>
      </c>
      <c r="J373">
        <v>172.2</v>
      </c>
      <c r="K373">
        <v>161</v>
      </c>
      <c r="L373">
        <v>175.6</v>
      </c>
      <c r="M373">
        <v>122.7</v>
      </c>
      <c r="N373">
        <v>218</v>
      </c>
      <c r="O373">
        <v>173.4</v>
      </c>
      <c r="P373">
        <v>194.2</v>
      </c>
      <c r="Q373">
        <v>179.1</v>
      </c>
      <c r="R373">
        <v>201</v>
      </c>
      <c r="S373">
        <v>187.3</v>
      </c>
      <c r="T373">
        <v>179.7</v>
      </c>
      <c r="U373">
        <v>186.2</v>
      </c>
      <c r="V373">
        <v>175.6</v>
      </c>
      <c r="W373">
        <v>182.8</v>
      </c>
      <c r="X373">
        <v>175.2</v>
      </c>
      <c r="Y373">
        <v>185.7</v>
      </c>
      <c r="Z373">
        <v>164.8</v>
      </c>
      <c r="AA373">
        <v>171.2</v>
      </c>
      <c r="AB373">
        <v>177.1</v>
      </c>
      <c r="AC373">
        <v>185.2</v>
      </c>
      <c r="AD373">
        <v>175.7</v>
      </c>
      <c r="AE373">
        <v>179.1</v>
      </c>
      <c r="AF373">
        <f t="shared" si="12"/>
        <v>177.31666666666669</v>
      </c>
      <c r="AG373">
        <v>201</v>
      </c>
      <c r="AH373">
        <f>AVERAGE(Table1[[#This Row],[Clothing]:[Footwear]])</f>
        <v>183.5</v>
      </c>
      <c r="AI373">
        <v>182.8</v>
      </c>
      <c r="AJ373">
        <v>175.2</v>
      </c>
      <c r="AK373">
        <v>164.8</v>
      </c>
      <c r="AL373">
        <v>171.2</v>
      </c>
      <c r="AM373" t="str">
        <f t="shared" si="13"/>
        <v>Post-COVID</v>
      </c>
    </row>
  </sheetData>
  <pageMargins left="0.7" right="0.7" top="0.75" bottom="0.75" header="0.3" footer="0.3"/>
  <pageSetup paperSize="9" orientation="portrait" r:id="rId1"/>
  <ignoredErrors>
    <ignoredError sqref="AF2:AF373" formulaRange="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8D141-2F76-4217-A9FD-131A1A322A15}">
  <dimension ref="A1:Q101"/>
  <sheetViews>
    <sheetView topLeftCell="A22" zoomScale="65" zoomScaleNormal="35" workbookViewId="0">
      <selection activeCell="C41" sqref="C41"/>
    </sheetView>
  </sheetViews>
  <sheetFormatPr defaultRowHeight="14.5" x14ac:dyDescent="0.35"/>
  <cols>
    <col min="1" max="1" width="24.453125" bestFit="1" customWidth="1"/>
    <col min="2" max="2" width="14.1796875" bestFit="1" customWidth="1"/>
    <col min="3" max="3" width="32.54296875" bestFit="1" customWidth="1"/>
    <col min="4" max="4" width="26.7265625" bestFit="1" customWidth="1"/>
    <col min="5" max="5" width="16.6328125" bestFit="1" customWidth="1"/>
    <col min="6" max="6" width="21.08984375" bestFit="1" customWidth="1"/>
    <col min="7" max="7" width="18.90625" bestFit="1" customWidth="1"/>
    <col min="8" max="8" width="15.36328125" bestFit="1" customWidth="1"/>
    <col min="9" max="9" width="33.6328125" bestFit="1" customWidth="1"/>
    <col min="10" max="10" width="19" bestFit="1" customWidth="1"/>
    <col min="11" max="11" width="18.36328125" bestFit="1" customWidth="1"/>
    <col min="12" max="12" width="21.1796875" customWidth="1"/>
    <col min="13" max="13" width="22.08984375" bestFit="1" customWidth="1"/>
    <col min="14" max="15" width="12.90625" bestFit="1" customWidth="1"/>
  </cols>
  <sheetData>
    <row r="1" spans="1:13" ht="18.5" x14ac:dyDescent="0.45">
      <c r="A1" s="2" t="s">
        <v>0</v>
      </c>
      <c r="B1" t="s">
        <v>34</v>
      </c>
      <c r="D1" s="92" t="s">
        <v>191</v>
      </c>
      <c r="E1" s="92"/>
      <c r="F1" s="92"/>
      <c r="G1" s="92"/>
      <c r="H1" s="92"/>
      <c r="I1" s="92"/>
      <c r="J1" s="92"/>
      <c r="K1" s="92"/>
      <c r="L1" s="92"/>
      <c r="M1" s="92"/>
    </row>
    <row r="3" spans="1:13" x14ac:dyDescent="0.35">
      <c r="A3" s="2" t="s">
        <v>59</v>
      </c>
      <c r="B3" t="s">
        <v>60</v>
      </c>
      <c r="C3" t="s">
        <v>61</v>
      </c>
      <c r="D3" t="s">
        <v>62</v>
      </c>
      <c r="E3" t="s">
        <v>63</v>
      </c>
      <c r="F3" t="s">
        <v>64</v>
      </c>
      <c r="G3" t="s">
        <v>65</v>
      </c>
      <c r="H3" t="s">
        <v>66</v>
      </c>
      <c r="I3" t="s">
        <v>67</v>
      </c>
      <c r="J3" t="s">
        <v>68</v>
      </c>
      <c r="K3" t="s">
        <v>69</v>
      </c>
      <c r="L3" t="s">
        <v>196</v>
      </c>
      <c r="M3" t="s">
        <v>70</v>
      </c>
    </row>
    <row r="4" spans="1:13" x14ac:dyDescent="0.35">
      <c r="A4" s="28">
        <v>45047</v>
      </c>
      <c r="B4" s="41">
        <v>177.31666666666669</v>
      </c>
      <c r="C4">
        <v>201</v>
      </c>
      <c r="D4">
        <v>183.5</v>
      </c>
      <c r="E4">
        <v>175.6</v>
      </c>
      <c r="F4">
        <v>182.8</v>
      </c>
      <c r="G4">
        <v>175.2</v>
      </c>
      <c r="H4">
        <v>185.7</v>
      </c>
      <c r="I4">
        <v>164.8</v>
      </c>
      <c r="J4">
        <v>171.2</v>
      </c>
      <c r="K4">
        <v>177.1</v>
      </c>
      <c r="L4">
        <v>185.2</v>
      </c>
      <c r="M4">
        <v>175.7</v>
      </c>
    </row>
    <row r="9" spans="1:13" ht="21" x14ac:dyDescent="0.5">
      <c r="A9" s="51" t="s">
        <v>75</v>
      </c>
      <c r="B9" s="52">
        <f>SUM(B4:M4)</f>
        <v>2155.1166666666668</v>
      </c>
      <c r="C9" s="5"/>
      <c r="D9" s="5"/>
      <c r="E9" s="5"/>
      <c r="F9" s="12"/>
      <c r="G9" s="94" t="s">
        <v>77</v>
      </c>
      <c r="H9" s="94"/>
      <c r="I9" s="94"/>
      <c r="J9" s="94"/>
      <c r="K9" s="5"/>
      <c r="L9" s="5"/>
      <c r="M9" s="5"/>
    </row>
    <row r="10" spans="1:13" x14ac:dyDescent="0.35">
      <c r="A10" s="6"/>
      <c r="B10" s="7"/>
      <c r="K10" s="95" t="s">
        <v>83</v>
      </c>
      <c r="L10" s="95"/>
      <c r="M10" s="95"/>
    </row>
    <row r="11" spans="1:13" x14ac:dyDescent="0.35">
      <c r="A11" s="10" t="s">
        <v>72</v>
      </c>
      <c r="B11" s="50">
        <f>SUM(C15:C26)</f>
        <v>1</v>
      </c>
      <c r="K11" s="95"/>
      <c r="L11" s="95"/>
      <c r="M11" s="95"/>
    </row>
    <row r="12" spans="1:13" x14ac:dyDescent="0.35">
      <c r="K12" s="95"/>
      <c r="L12" s="95"/>
      <c r="M12" s="95"/>
    </row>
    <row r="13" spans="1:13" x14ac:dyDescent="0.35">
      <c r="K13" s="95"/>
      <c r="L13" s="95"/>
      <c r="M13" s="95"/>
    </row>
    <row r="14" spans="1:13" x14ac:dyDescent="0.35">
      <c r="A14" s="8" t="s">
        <v>73</v>
      </c>
      <c r="B14" s="8" t="s">
        <v>74</v>
      </c>
      <c r="C14" s="8" t="s">
        <v>71</v>
      </c>
      <c r="D14" s="8" t="s">
        <v>76</v>
      </c>
      <c r="J14" s="6"/>
      <c r="K14" s="95"/>
      <c r="L14" s="95"/>
      <c r="M14" s="95"/>
    </row>
    <row r="15" spans="1:13" x14ac:dyDescent="0.35">
      <c r="A15" s="10" t="s">
        <v>51</v>
      </c>
      <c r="B15" s="11" cm="1">
        <f t="array" ref="B15:B26">TRANSPOSE(B4:M4)</f>
        <v>177.31666666666669</v>
      </c>
      <c r="C15" s="53">
        <f>B15/$B$9</f>
        <v>8.2277061566659204E-2</v>
      </c>
      <c r="D15" s="9">
        <f>_xlfn.RANK.EQ(C15,$C$15:$C$26,0)</f>
        <v>6</v>
      </c>
      <c r="K15" s="95"/>
      <c r="L15" s="95"/>
      <c r="M15" s="95"/>
    </row>
    <row r="16" spans="1:13" x14ac:dyDescent="0.35">
      <c r="A16" s="10" t="s">
        <v>52</v>
      </c>
      <c r="B16" s="10">
        <v>201</v>
      </c>
      <c r="C16" s="53">
        <f t="shared" ref="C16:C26" si="0">B16/$B$9</f>
        <v>9.3266412491203099E-2</v>
      </c>
      <c r="D16" s="9">
        <f t="shared" ref="D16:D26" si="1">_xlfn.RANK.EQ(C16,$C$15:$C$26,0)</f>
        <v>1</v>
      </c>
      <c r="K16" s="95"/>
      <c r="L16" s="95"/>
      <c r="M16" s="95"/>
    </row>
    <row r="17" spans="1:17" x14ac:dyDescent="0.35">
      <c r="A17" s="10" t="s">
        <v>53</v>
      </c>
      <c r="B17" s="10">
        <v>183.5</v>
      </c>
      <c r="C17" s="53">
        <f t="shared" si="0"/>
        <v>8.5146202448436667E-2</v>
      </c>
      <c r="D17" s="9">
        <f t="shared" si="1"/>
        <v>4</v>
      </c>
      <c r="K17" s="95"/>
      <c r="L17" s="95"/>
      <c r="M17" s="95"/>
    </row>
    <row r="18" spans="1:17" x14ac:dyDescent="0.35">
      <c r="A18" s="10" t="s">
        <v>20</v>
      </c>
      <c r="B18" s="10">
        <v>175.6</v>
      </c>
      <c r="C18" s="53">
        <f t="shared" si="0"/>
        <v>8.1480507629130672E-2</v>
      </c>
      <c r="D18" s="9">
        <f t="shared" si="1"/>
        <v>9</v>
      </c>
      <c r="K18" s="95"/>
      <c r="L18" s="95"/>
      <c r="M18" s="95"/>
    </row>
    <row r="19" spans="1:17" x14ac:dyDescent="0.35">
      <c r="A19" s="10" t="s">
        <v>54</v>
      </c>
      <c r="B19" s="10">
        <v>182.8</v>
      </c>
      <c r="C19" s="53">
        <f t="shared" si="0"/>
        <v>8.4821394046726006E-2</v>
      </c>
      <c r="D19" s="9">
        <f t="shared" si="1"/>
        <v>5</v>
      </c>
      <c r="K19" s="95"/>
      <c r="L19" s="95"/>
      <c r="M19" s="95"/>
    </row>
    <row r="20" spans="1:17" x14ac:dyDescent="0.35">
      <c r="A20" s="10" t="s">
        <v>55</v>
      </c>
      <c r="B20" s="10">
        <v>175.2</v>
      </c>
      <c r="C20" s="53">
        <f t="shared" si="0"/>
        <v>8.1294902828153146E-2</v>
      </c>
      <c r="D20" s="9">
        <f t="shared" si="1"/>
        <v>10</v>
      </c>
      <c r="K20" s="95"/>
      <c r="L20" s="95"/>
      <c r="M20" s="95"/>
    </row>
    <row r="21" spans="1:17" x14ac:dyDescent="0.35">
      <c r="A21" s="10" t="s">
        <v>23</v>
      </c>
      <c r="B21" s="10">
        <v>185.7</v>
      </c>
      <c r="C21" s="53">
        <f t="shared" si="0"/>
        <v>8.6167028853813013E-2</v>
      </c>
      <c r="D21" s="9">
        <f t="shared" si="1"/>
        <v>2</v>
      </c>
      <c r="K21" s="95"/>
      <c r="L21" s="95"/>
      <c r="M21" s="95"/>
    </row>
    <row r="22" spans="1:17" x14ac:dyDescent="0.35">
      <c r="A22" s="10" t="s">
        <v>56</v>
      </c>
      <c r="B22" s="10">
        <v>164.8</v>
      </c>
      <c r="C22" s="53">
        <f t="shared" si="0"/>
        <v>7.646917800273767E-2</v>
      </c>
      <c r="D22" s="9">
        <f t="shared" si="1"/>
        <v>12</v>
      </c>
      <c r="K22" s="95"/>
      <c r="L22" s="95"/>
      <c r="M22" s="95"/>
    </row>
    <row r="23" spans="1:17" x14ac:dyDescent="0.35">
      <c r="A23" s="10" t="s">
        <v>57</v>
      </c>
      <c r="B23" s="10">
        <v>171.2</v>
      </c>
      <c r="C23" s="53">
        <f t="shared" si="0"/>
        <v>7.9438854818377966E-2</v>
      </c>
      <c r="D23" s="9">
        <f t="shared" si="1"/>
        <v>11</v>
      </c>
      <c r="K23" s="95"/>
      <c r="L23" s="95"/>
      <c r="M23" s="95"/>
    </row>
    <row r="24" spans="1:17" x14ac:dyDescent="0.35">
      <c r="A24" s="10" t="s">
        <v>26</v>
      </c>
      <c r="B24" s="10">
        <v>177.1</v>
      </c>
      <c r="C24" s="53">
        <f t="shared" si="0"/>
        <v>8.2176525632796357E-2</v>
      </c>
      <c r="D24" s="9">
        <f t="shared" si="1"/>
        <v>7</v>
      </c>
      <c r="K24" s="95"/>
      <c r="L24" s="95"/>
      <c r="M24" s="95"/>
    </row>
    <row r="25" spans="1:17" x14ac:dyDescent="0.35">
      <c r="A25" s="10" t="s">
        <v>58</v>
      </c>
      <c r="B25" s="10">
        <v>185.2</v>
      </c>
      <c r="C25" s="53">
        <f t="shared" si="0"/>
        <v>8.5935022852591109E-2</v>
      </c>
      <c r="D25" s="9">
        <f t="shared" si="1"/>
        <v>3</v>
      </c>
      <c r="K25" s="95"/>
      <c r="L25" s="95"/>
      <c r="M25" s="95"/>
    </row>
    <row r="26" spans="1:17" x14ac:dyDescent="0.35">
      <c r="A26" s="10" t="s">
        <v>28</v>
      </c>
      <c r="B26" s="10">
        <v>175.7</v>
      </c>
      <c r="C26" s="53">
        <f t="shared" si="0"/>
        <v>8.152690882937505E-2</v>
      </c>
      <c r="D26" s="9">
        <f t="shared" si="1"/>
        <v>8</v>
      </c>
    </row>
    <row r="27" spans="1:17" x14ac:dyDescent="0.35">
      <c r="A27" s="10" t="s">
        <v>88</v>
      </c>
      <c r="B27" s="11">
        <f>SUM(_xlfn.ANCHORARRAY(B15))</f>
        <v>2155.1166666666668</v>
      </c>
      <c r="C27" s="49">
        <f>SUM(C15:C26)</f>
        <v>1</v>
      </c>
    </row>
    <row r="29" spans="1:17" x14ac:dyDescent="0.35">
      <c r="L29" s="6"/>
    </row>
    <row r="30" spans="1:17" x14ac:dyDescent="0.35">
      <c r="A30" s="6"/>
      <c r="B30" s="6"/>
      <c r="C30" s="6"/>
      <c r="D30" s="6"/>
      <c r="E30" s="6"/>
      <c r="F30" s="6"/>
      <c r="G30" s="6"/>
      <c r="H30" s="6"/>
      <c r="I30" s="6"/>
      <c r="J30" s="6"/>
      <c r="K30" s="6"/>
      <c r="L30" s="6"/>
      <c r="M30" s="6"/>
      <c r="N30" s="6"/>
      <c r="O30" s="6"/>
      <c r="P30" s="6"/>
      <c r="Q30" s="6"/>
    </row>
    <row r="31" spans="1:17" x14ac:dyDescent="0.35">
      <c r="A31" s="6"/>
      <c r="B31" s="6"/>
      <c r="C31" s="6"/>
      <c r="D31" s="6"/>
      <c r="E31" s="6"/>
      <c r="F31" s="6"/>
      <c r="G31" s="6"/>
      <c r="H31" s="6"/>
      <c r="I31" s="6"/>
      <c r="J31" s="6"/>
      <c r="K31" s="6"/>
      <c r="L31" s="6"/>
      <c r="M31" s="6"/>
      <c r="N31" s="6"/>
      <c r="O31" s="6"/>
      <c r="P31" s="6"/>
      <c r="Q31" s="6"/>
    </row>
    <row r="32" spans="1:17" ht="16" x14ac:dyDescent="0.35">
      <c r="A32" s="100" t="s">
        <v>156</v>
      </c>
      <c r="B32" s="100"/>
      <c r="C32" s="6"/>
      <c r="D32" s="19"/>
      <c r="E32" s="19"/>
      <c r="F32" s="19"/>
      <c r="G32" s="19"/>
      <c r="H32" s="19"/>
      <c r="I32" s="19"/>
      <c r="J32" s="6"/>
      <c r="K32" s="6"/>
      <c r="L32" s="6"/>
      <c r="M32" s="6"/>
      <c r="N32" s="6"/>
      <c r="O32" s="6"/>
      <c r="P32" s="6"/>
      <c r="Q32" s="6"/>
    </row>
    <row r="33" spans="1:17" ht="14.5" customHeight="1" x14ac:dyDescent="0.35">
      <c r="A33" s="6"/>
      <c r="B33" s="6"/>
      <c r="C33" s="6"/>
      <c r="D33" s="98" t="s">
        <v>84</v>
      </c>
      <c r="E33" s="98"/>
      <c r="F33" s="98"/>
      <c r="G33" s="98"/>
      <c r="H33" s="98"/>
      <c r="I33" s="19"/>
      <c r="J33" s="6"/>
      <c r="K33" s="6"/>
      <c r="L33" s="6"/>
      <c r="M33" s="6"/>
      <c r="N33" s="6"/>
      <c r="O33" s="6"/>
      <c r="P33" s="6"/>
      <c r="Q33" s="6"/>
    </row>
    <row r="34" spans="1:17" x14ac:dyDescent="0.35">
      <c r="A34" s="99" t="s">
        <v>231</v>
      </c>
      <c r="B34" s="99"/>
      <c r="C34" s="6"/>
      <c r="D34" s="98"/>
      <c r="E34" s="98"/>
      <c r="F34" s="98"/>
      <c r="G34" s="98"/>
      <c r="H34" s="98"/>
      <c r="I34" s="20"/>
      <c r="J34" s="6"/>
      <c r="K34" s="6"/>
      <c r="L34" s="6"/>
      <c r="M34" s="6"/>
      <c r="N34" s="6"/>
      <c r="O34" s="6"/>
      <c r="P34" s="6"/>
      <c r="Q34" s="6"/>
    </row>
    <row r="35" spans="1:17" x14ac:dyDescent="0.35">
      <c r="A35" s="99"/>
      <c r="B35" s="99"/>
      <c r="C35" s="6"/>
      <c r="D35" s="98"/>
      <c r="E35" s="98"/>
      <c r="F35" s="98"/>
      <c r="G35" s="98"/>
      <c r="H35" s="98"/>
      <c r="I35" s="55"/>
      <c r="J35" s="6"/>
      <c r="K35" s="6"/>
      <c r="L35" s="6"/>
      <c r="M35" s="6"/>
      <c r="N35" s="6"/>
      <c r="O35" s="6"/>
      <c r="P35" s="6"/>
      <c r="Q35" s="6"/>
    </row>
    <row r="36" spans="1:17" x14ac:dyDescent="0.35">
      <c r="A36" s="99"/>
      <c r="B36" s="99"/>
      <c r="C36" s="6"/>
      <c r="D36" s="19"/>
      <c r="E36" s="20"/>
      <c r="F36" s="20"/>
      <c r="G36" s="20"/>
      <c r="H36" s="20"/>
      <c r="I36" s="20"/>
      <c r="J36" s="6"/>
      <c r="K36" s="93" t="s">
        <v>87</v>
      </c>
      <c r="L36" s="93"/>
      <c r="M36" s="6"/>
      <c r="N36" s="6"/>
      <c r="O36" s="6"/>
      <c r="P36" s="6"/>
      <c r="Q36" s="6"/>
    </row>
    <row r="37" spans="1:17" ht="21" customHeight="1" x14ac:dyDescent="0.5">
      <c r="A37" s="99"/>
      <c r="B37" s="99"/>
      <c r="C37" s="6"/>
      <c r="D37" s="24" t="s">
        <v>78</v>
      </c>
      <c r="E37" s="96" t="s">
        <v>89</v>
      </c>
      <c r="F37" s="96"/>
      <c r="G37" s="13" t="s">
        <v>79</v>
      </c>
      <c r="H37" s="13" t="s">
        <v>80</v>
      </c>
      <c r="I37" s="19"/>
      <c r="J37" s="14"/>
      <c r="K37" s="93"/>
      <c r="L37" s="93"/>
      <c r="M37" s="6"/>
      <c r="N37" s="6"/>
      <c r="O37" s="6"/>
      <c r="P37" s="6"/>
      <c r="Q37" s="6"/>
    </row>
    <row r="38" spans="1:17" x14ac:dyDescent="0.35">
      <c r="A38" s="99"/>
      <c r="B38" s="99"/>
      <c r="C38" s="6"/>
      <c r="D38" s="19"/>
      <c r="E38" s="19"/>
      <c r="F38" s="19"/>
      <c r="G38" s="19"/>
      <c r="H38" s="19"/>
      <c r="I38" s="19"/>
      <c r="J38" s="6"/>
      <c r="K38" s="93"/>
      <c r="L38" s="93"/>
      <c r="M38" s="6"/>
      <c r="N38" s="6"/>
      <c r="O38" s="6"/>
      <c r="P38" s="6"/>
      <c r="Q38" s="6"/>
    </row>
    <row r="39" spans="1:17" ht="16" x14ac:dyDescent="0.4">
      <c r="A39" s="99"/>
      <c r="B39" s="99"/>
      <c r="C39" s="6"/>
      <c r="D39" s="23">
        <v>45047</v>
      </c>
      <c r="E39" s="97">
        <v>2155.12</v>
      </c>
      <c r="F39" s="97"/>
      <c r="G39" s="21" t="s">
        <v>52</v>
      </c>
      <c r="H39" s="22">
        <v>9.3299999999999994E-2</v>
      </c>
      <c r="I39" s="19"/>
      <c r="J39" s="6"/>
      <c r="K39" s="93"/>
      <c r="L39" s="93"/>
      <c r="M39" s="6"/>
      <c r="N39" s="6"/>
      <c r="O39" s="6"/>
      <c r="P39" s="6"/>
      <c r="Q39" s="6"/>
    </row>
    <row r="40" spans="1:17" x14ac:dyDescent="0.35">
      <c r="A40" s="99"/>
      <c r="B40" s="99"/>
      <c r="C40" s="6"/>
      <c r="D40" s="19"/>
      <c r="E40" s="19"/>
      <c r="F40" s="19"/>
      <c r="G40" s="19"/>
      <c r="H40" s="19"/>
      <c r="I40" s="19"/>
      <c r="J40" s="6"/>
      <c r="K40" s="93"/>
      <c r="L40" s="93"/>
      <c r="M40" s="6"/>
      <c r="N40" s="6"/>
      <c r="O40" s="6"/>
      <c r="P40" s="6"/>
      <c r="Q40" s="6"/>
    </row>
    <row r="41" spans="1:17" x14ac:dyDescent="0.35">
      <c r="A41" s="6"/>
      <c r="B41" s="6"/>
      <c r="C41" s="6"/>
      <c r="D41" s="19"/>
      <c r="E41" s="19"/>
      <c r="F41" s="19"/>
      <c r="G41" s="19"/>
      <c r="H41" s="19"/>
      <c r="I41" s="19"/>
      <c r="J41" s="6"/>
      <c r="K41" s="93"/>
      <c r="L41" s="93"/>
      <c r="M41" s="6"/>
      <c r="N41" s="6"/>
      <c r="O41" s="6"/>
      <c r="P41" s="6"/>
      <c r="Q41" s="6"/>
    </row>
    <row r="42" spans="1:17" x14ac:dyDescent="0.35">
      <c r="A42" s="6"/>
      <c r="B42" s="6"/>
      <c r="C42" s="6"/>
      <c r="D42" s="19"/>
      <c r="E42" s="19"/>
      <c r="F42" s="19"/>
      <c r="G42" s="19"/>
      <c r="H42" s="19"/>
      <c r="I42" s="19"/>
      <c r="J42" s="6"/>
      <c r="K42" s="93"/>
      <c r="L42" s="93"/>
      <c r="M42" s="6"/>
      <c r="N42" s="6"/>
      <c r="O42" s="6"/>
      <c r="P42" s="6"/>
      <c r="Q42" s="6"/>
    </row>
    <row r="43" spans="1:17" x14ac:dyDescent="0.35">
      <c r="A43" s="6"/>
      <c r="B43" s="6"/>
      <c r="C43" s="6"/>
      <c r="D43" s="19"/>
      <c r="E43" s="19"/>
      <c r="F43" s="19"/>
      <c r="G43" s="19"/>
      <c r="H43" s="19"/>
      <c r="I43" s="19"/>
      <c r="J43" s="6"/>
      <c r="K43" s="93"/>
      <c r="L43" s="93"/>
      <c r="M43" s="6"/>
      <c r="N43" s="6"/>
      <c r="O43" s="6"/>
      <c r="P43" s="6"/>
      <c r="Q43" s="6"/>
    </row>
    <row r="44" spans="1:17" x14ac:dyDescent="0.35">
      <c r="A44" s="6"/>
      <c r="B44" s="6"/>
      <c r="C44" s="6"/>
      <c r="D44" s="19"/>
      <c r="E44" s="19"/>
      <c r="F44" s="19"/>
      <c r="G44" s="19"/>
      <c r="H44" s="19"/>
      <c r="I44" s="19"/>
      <c r="J44" s="6"/>
      <c r="K44" s="6"/>
      <c r="L44" s="6"/>
      <c r="M44" s="6"/>
      <c r="N44" s="6"/>
      <c r="O44" s="6"/>
      <c r="P44" s="6"/>
      <c r="Q44" s="6"/>
    </row>
    <row r="45" spans="1:17" x14ac:dyDescent="0.35">
      <c r="A45" s="6"/>
      <c r="B45" s="6"/>
      <c r="C45" s="6"/>
      <c r="D45" s="19"/>
      <c r="E45" s="19"/>
      <c r="F45" s="19"/>
      <c r="G45" s="19"/>
      <c r="H45" s="19"/>
      <c r="I45" s="19"/>
      <c r="J45" s="6"/>
      <c r="K45" s="93" t="s">
        <v>90</v>
      </c>
      <c r="L45" s="93"/>
      <c r="M45" s="6"/>
      <c r="N45" s="6"/>
      <c r="O45" s="6"/>
      <c r="P45" s="6"/>
      <c r="Q45" s="6"/>
    </row>
    <row r="46" spans="1:17" x14ac:dyDescent="0.35">
      <c r="A46" s="6"/>
      <c r="B46" s="6"/>
      <c r="C46" s="6"/>
      <c r="D46" s="19"/>
      <c r="E46" s="19"/>
      <c r="F46" s="19"/>
      <c r="G46" s="19"/>
      <c r="H46" s="19"/>
      <c r="I46" s="19"/>
      <c r="J46" s="6"/>
      <c r="K46" s="93"/>
      <c r="L46" s="93"/>
      <c r="M46" s="6"/>
      <c r="N46" s="6"/>
      <c r="O46" s="6"/>
      <c r="P46" s="6"/>
      <c r="Q46" s="6"/>
    </row>
    <row r="47" spans="1:17" ht="14.5" customHeight="1" x14ac:dyDescent="0.35">
      <c r="A47" s="15"/>
      <c r="B47" s="15"/>
      <c r="C47" s="6"/>
      <c r="D47" s="19"/>
      <c r="E47" s="19"/>
      <c r="F47" s="19"/>
      <c r="G47" s="19"/>
      <c r="H47" s="19"/>
      <c r="I47" s="19"/>
      <c r="J47" s="6"/>
      <c r="K47" s="93"/>
      <c r="L47" s="93"/>
      <c r="M47" s="6"/>
      <c r="N47" s="6"/>
      <c r="O47" s="6"/>
      <c r="P47" s="6"/>
      <c r="Q47" s="6"/>
    </row>
    <row r="48" spans="1:17" ht="14.5" customHeight="1" x14ac:dyDescent="0.35">
      <c r="A48" s="15"/>
      <c r="B48" s="15"/>
      <c r="C48" s="6"/>
      <c r="D48" s="19"/>
      <c r="E48" s="19"/>
      <c r="F48" s="19"/>
      <c r="G48" s="19"/>
      <c r="H48" s="19"/>
      <c r="I48" s="19"/>
      <c r="J48" s="6"/>
      <c r="K48" s="93"/>
      <c r="L48" s="93"/>
      <c r="M48" s="6"/>
      <c r="N48" s="6"/>
      <c r="O48" s="6"/>
      <c r="P48" s="6"/>
      <c r="Q48" s="6"/>
    </row>
    <row r="49" spans="1:17" ht="14.5" customHeight="1" x14ac:dyDescent="0.35">
      <c r="A49" s="15"/>
      <c r="B49" s="15"/>
      <c r="C49" s="6"/>
      <c r="D49" s="19"/>
      <c r="E49" s="19"/>
      <c r="F49" s="19"/>
      <c r="G49" s="19"/>
      <c r="H49" s="19"/>
      <c r="I49" s="19"/>
      <c r="J49" s="6"/>
      <c r="K49" s="6"/>
      <c r="L49" s="6"/>
      <c r="M49" s="6"/>
      <c r="N49" s="6"/>
      <c r="O49" s="6"/>
      <c r="P49" s="6"/>
      <c r="Q49" s="6"/>
    </row>
    <row r="50" spans="1:17" ht="14.5" customHeight="1" x14ac:dyDescent="0.35">
      <c r="A50" s="15"/>
      <c r="B50" s="15"/>
      <c r="C50" s="6"/>
      <c r="D50" s="19"/>
      <c r="E50" s="19"/>
      <c r="F50" s="19"/>
      <c r="G50" s="19"/>
      <c r="H50" s="19"/>
      <c r="I50" s="19"/>
      <c r="J50" s="6"/>
      <c r="K50" s="6"/>
      <c r="L50" s="6"/>
      <c r="M50" s="6"/>
      <c r="N50" s="6"/>
      <c r="O50" s="6"/>
      <c r="P50" s="6"/>
      <c r="Q50" s="6"/>
    </row>
    <row r="51" spans="1:17" ht="14.5" customHeight="1" x14ac:dyDescent="0.35">
      <c r="A51" s="15"/>
      <c r="B51" s="15"/>
      <c r="C51" s="6"/>
      <c r="D51" s="19"/>
      <c r="E51" s="19"/>
      <c r="F51" s="19"/>
      <c r="G51" s="19"/>
      <c r="H51" s="19"/>
      <c r="I51" s="19"/>
      <c r="J51" s="6"/>
      <c r="K51" s="6"/>
      <c r="L51" s="6"/>
      <c r="M51" s="6"/>
      <c r="N51" s="6"/>
      <c r="O51" s="6"/>
      <c r="P51" s="6"/>
      <c r="Q51" s="6"/>
    </row>
    <row r="52" spans="1:17" x14ac:dyDescent="0.35">
      <c r="A52" s="6"/>
      <c r="B52" s="6"/>
      <c r="C52" s="6"/>
      <c r="D52" s="19"/>
      <c r="E52" s="19"/>
      <c r="F52" s="19"/>
      <c r="G52" s="19"/>
      <c r="H52" s="19"/>
      <c r="I52" s="19"/>
      <c r="J52" s="6"/>
      <c r="K52" s="6"/>
      <c r="L52" s="6"/>
      <c r="M52" s="6"/>
      <c r="N52" s="6"/>
      <c r="O52" s="6"/>
      <c r="P52" s="6"/>
      <c r="Q52" s="6"/>
    </row>
    <row r="53" spans="1:17" x14ac:dyDescent="0.35">
      <c r="A53" s="6"/>
      <c r="B53" s="6"/>
      <c r="C53" s="6"/>
      <c r="D53" s="19"/>
      <c r="E53" s="19"/>
      <c r="F53" s="19"/>
      <c r="G53" s="19"/>
      <c r="H53" s="19"/>
      <c r="I53" s="19"/>
      <c r="J53" s="6"/>
      <c r="K53" s="6"/>
      <c r="L53" s="6"/>
      <c r="M53" s="6"/>
      <c r="N53" s="6"/>
      <c r="O53" s="6"/>
      <c r="P53" s="6"/>
      <c r="Q53" s="6"/>
    </row>
    <row r="54" spans="1:17" x14ac:dyDescent="0.35">
      <c r="A54" s="6"/>
      <c r="B54" s="6"/>
      <c r="C54" s="6"/>
      <c r="D54" s="19"/>
      <c r="E54" s="19"/>
      <c r="F54" s="19"/>
      <c r="G54" s="19"/>
      <c r="H54" s="19"/>
      <c r="I54" s="19"/>
      <c r="J54" s="6"/>
      <c r="K54" s="6"/>
      <c r="L54" s="6"/>
      <c r="M54" s="6"/>
      <c r="N54" s="6"/>
      <c r="O54" s="6"/>
      <c r="P54" s="6"/>
      <c r="Q54" s="6"/>
    </row>
    <row r="55" spans="1:17" x14ac:dyDescent="0.35">
      <c r="A55" s="14"/>
      <c r="B55" s="14"/>
      <c r="C55" s="6"/>
      <c r="D55" s="19"/>
      <c r="E55" s="19"/>
      <c r="F55" s="19"/>
      <c r="G55" s="19"/>
      <c r="H55" s="19"/>
      <c r="I55" s="19"/>
      <c r="J55" s="6"/>
      <c r="K55" s="6"/>
      <c r="L55" s="6"/>
      <c r="M55" s="6"/>
      <c r="N55" s="6"/>
      <c r="O55" s="6"/>
      <c r="P55" s="6"/>
      <c r="Q55" s="6"/>
    </row>
    <row r="56" spans="1:17" x14ac:dyDescent="0.35">
      <c r="A56" s="14"/>
      <c r="B56" s="14"/>
      <c r="C56" s="6"/>
      <c r="D56" s="19"/>
      <c r="E56" s="19"/>
      <c r="F56" s="19"/>
      <c r="G56" s="19"/>
      <c r="H56" s="19"/>
      <c r="I56" s="19"/>
      <c r="J56" s="6"/>
      <c r="K56" s="6"/>
      <c r="L56" s="6"/>
      <c r="M56" s="6"/>
      <c r="N56" s="6"/>
      <c r="O56" s="6"/>
      <c r="P56" s="6"/>
      <c r="Q56" s="6"/>
    </row>
    <row r="57" spans="1:17" x14ac:dyDescent="0.35">
      <c r="A57" s="6"/>
      <c r="B57" s="6"/>
      <c r="C57" s="6"/>
      <c r="D57" s="19"/>
      <c r="E57" s="19"/>
      <c r="F57" s="19"/>
      <c r="G57" s="19"/>
      <c r="H57" s="19"/>
      <c r="I57" s="19"/>
      <c r="J57" s="6"/>
      <c r="K57" s="6"/>
      <c r="L57" s="6"/>
      <c r="M57" s="6"/>
      <c r="N57" s="6"/>
      <c r="O57" s="6"/>
      <c r="P57" s="6"/>
      <c r="Q57" s="6"/>
    </row>
    <row r="58" spans="1:17" x14ac:dyDescent="0.35">
      <c r="A58" s="6"/>
      <c r="B58" s="6"/>
      <c r="C58" s="6"/>
      <c r="D58" s="19"/>
      <c r="E58" s="19"/>
      <c r="F58" s="19"/>
      <c r="G58" s="19"/>
      <c r="H58" s="19"/>
      <c r="I58" s="19"/>
      <c r="J58" s="6"/>
      <c r="K58" s="6"/>
      <c r="L58" s="6"/>
      <c r="M58" s="6"/>
      <c r="N58" s="6"/>
      <c r="O58" s="6"/>
      <c r="P58" s="6"/>
      <c r="Q58" s="6"/>
    </row>
    <row r="59" spans="1:17" x14ac:dyDescent="0.35">
      <c r="A59" s="6"/>
      <c r="B59" s="6"/>
      <c r="C59" s="6"/>
      <c r="D59" s="19"/>
      <c r="E59" s="19"/>
      <c r="F59" s="19"/>
      <c r="G59" s="19"/>
      <c r="H59" s="19"/>
      <c r="I59" s="19"/>
      <c r="J59" s="6"/>
      <c r="K59" s="6"/>
      <c r="L59" s="6"/>
      <c r="M59" s="6"/>
      <c r="N59" s="6"/>
      <c r="O59" s="6"/>
      <c r="P59" s="6"/>
      <c r="Q59" s="6"/>
    </row>
    <row r="60" spans="1:17" x14ac:dyDescent="0.35">
      <c r="A60" s="93" t="s">
        <v>190</v>
      </c>
      <c r="B60" s="93"/>
      <c r="C60" s="6"/>
      <c r="D60" s="19"/>
      <c r="E60" s="19"/>
      <c r="F60" s="19"/>
      <c r="G60" s="19"/>
      <c r="H60" s="19"/>
      <c r="I60" s="19"/>
      <c r="J60" s="6"/>
      <c r="K60" s="6"/>
      <c r="L60" s="6"/>
      <c r="M60" s="6"/>
      <c r="N60" s="6"/>
      <c r="O60" s="6"/>
      <c r="P60" s="6"/>
      <c r="Q60" s="6"/>
    </row>
    <row r="61" spans="1:17" x14ac:dyDescent="0.35">
      <c r="A61" s="93"/>
      <c r="B61" s="93"/>
      <c r="C61" s="6"/>
      <c r="D61" s="19"/>
      <c r="E61" s="19"/>
      <c r="F61" s="19"/>
      <c r="G61" s="19"/>
      <c r="H61" s="19"/>
      <c r="I61" s="19"/>
      <c r="J61" s="6"/>
      <c r="K61" s="93" t="s">
        <v>85</v>
      </c>
      <c r="L61" s="93"/>
      <c r="M61" s="6"/>
      <c r="N61" s="6"/>
      <c r="O61" s="6"/>
      <c r="P61" s="6"/>
      <c r="Q61" s="6"/>
    </row>
    <row r="62" spans="1:17" x14ac:dyDescent="0.35">
      <c r="A62" s="93"/>
      <c r="B62" s="93"/>
      <c r="C62" s="6"/>
      <c r="D62" s="19"/>
      <c r="E62" s="19"/>
      <c r="F62" s="19"/>
      <c r="G62" s="19"/>
      <c r="H62" s="19"/>
      <c r="I62" s="19"/>
      <c r="J62" s="6"/>
      <c r="K62" s="93"/>
      <c r="L62" s="93"/>
      <c r="M62" s="6"/>
      <c r="N62" s="6"/>
      <c r="O62" s="6"/>
      <c r="P62" s="6"/>
      <c r="Q62" s="6"/>
    </row>
    <row r="63" spans="1:17" x14ac:dyDescent="0.35">
      <c r="A63" s="93"/>
      <c r="B63" s="93"/>
      <c r="C63" s="6"/>
      <c r="D63" s="19"/>
      <c r="E63" s="19"/>
      <c r="F63" s="19"/>
      <c r="G63" s="19"/>
      <c r="H63" s="19"/>
      <c r="I63" s="19"/>
      <c r="J63" s="6"/>
      <c r="K63" s="93"/>
      <c r="L63" s="93"/>
      <c r="M63" s="6"/>
      <c r="N63" s="6"/>
      <c r="O63" s="6"/>
      <c r="P63" s="6"/>
      <c r="Q63" s="6"/>
    </row>
    <row r="64" spans="1:17" x14ac:dyDescent="0.35">
      <c r="A64" s="93"/>
      <c r="B64" s="93"/>
      <c r="C64" s="6"/>
      <c r="D64" s="19"/>
      <c r="E64" s="19"/>
      <c r="F64" s="19"/>
      <c r="G64" s="19"/>
      <c r="H64" s="19"/>
      <c r="I64" s="19"/>
      <c r="J64" s="6"/>
      <c r="K64" s="93"/>
      <c r="L64" s="93"/>
      <c r="M64" s="6"/>
      <c r="N64" s="6"/>
      <c r="O64" s="6"/>
      <c r="P64" s="6"/>
      <c r="Q64" s="6"/>
    </row>
    <row r="65" spans="1:17" ht="14.5" customHeight="1" x14ac:dyDescent="0.35">
      <c r="A65" s="93"/>
      <c r="B65" s="93"/>
      <c r="C65" s="6"/>
      <c r="D65" s="19"/>
      <c r="E65" s="19"/>
      <c r="F65" s="19"/>
      <c r="G65" s="19"/>
      <c r="H65" s="19"/>
      <c r="I65" s="19"/>
      <c r="J65" s="6"/>
      <c r="K65" s="93"/>
      <c r="L65" s="93"/>
      <c r="M65" s="6"/>
      <c r="N65" s="6"/>
      <c r="O65" s="6"/>
      <c r="P65" s="6"/>
      <c r="Q65" s="6"/>
    </row>
    <row r="66" spans="1:17" ht="14.5" customHeight="1" x14ac:dyDescent="0.35">
      <c r="A66" s="93"/>
      <c r="B66" s="93"/>
      <c r="C66" s="6"/>
      <c r="D66" s="19"/>
      <c r="E66" s="19"/>
      <c r="F66" s="19"/>
      <c r="G66" s="19"/>
      <c r="H66" s="19"/>
      <c r="I66" s="19"/>
      <c r="J66" s="6"/>
      <c r="K66" s="93"/>
      <c r="L66" s="93"/>
      <c r="M66" s="6"/>
      <c r="N66" s="6"/>
      <c r="O66" s="6"/>
      <c r="P66" s="6"/>
      <c r="Q66" s="6"/>
    </row>
    <row r="67" spans="1:17" ht="14.5" customHeight="1" x14ac:dyDescent="0.35">
      <c r="A67" s="93"/>
      <c r="B67" s="93"/>
      <c r="C67" s="6"/>
      <c r="D67" s="19"/>
      <c r="E67" s="19"/>
      <c r="F67" s="19"/>
      <c r="G67" s="19"/>
      <c r="H67" s="19"/>
      <c r="I67" s="19"/>
      <c r="J67" s="6"/>
      <c r="K67" s="6"/>
      <c r="L67" s="6"/>
      <c r="M67" s="6"/>
      <c r="N67" s="6"/>
      <c r="O67" s="6"/>
      <c r="P67" s="6"/>
      <c r="Q67" s="6"/>
    </row>
    <row r="68" spans="1:17" ht="14.5" customHeight="1" x14ac:dyDescent="0.35">
      <c r="A68" s="93"/>
      <c r="B68" s="93"/>
      <c r="C68" s="54"/>
      <c r="D68" s="19"/>
      <c r="E68" s="19"/>
      <c r="F68" s="19"/>
      <c r="G68" s="19"/>
      <c r="H68" s="19"/>
      <c r="I68" s="19"/>
      <c r="J68" s="6"/>
      <c r="K68" s="6"/>
      <c r="L68" s="6"/>
      <c r="M68" s="6"/>
      <c r="N68" s="6"/>
      <c r="O68" s="6"/>
    </row>
    <row r="69" spans="1:17" ht="14.5" customHeight="1" x14ac:dyDescent="0.35">
      <c r="A69" s="6"/>
      <c r="B69" s="6"/>
      <c r="C69" s="6"/>
      <c r="D69" s="19"/>
      <c r="E69" s="19"/>
      <c r="F69" s="19"/>
      <c r="G69" s="19"/>
      <c r="H69" s="19"/>
      <c r="I69" s="19"/>
      <c r="J69" s="6"/>
      <c r="K69" s="6"/>
      <c r="L69" s="6"/>
      <c r="M69" s="6"/>
      <c r="N69" s="6"/>
      <c r="O69" s="6"/>
      <c r="P69" s="6"/>
      <c r="Q69" s="6"/>
    </row>
    <row r="70" spans="1:17" x14ac:dyDescent="0.35">
      <c r="A70" s="6"/>
      <c r="B70" s="6"/>
      <c r="C70" s="6"/>
      <c r="D70" s="19"/>
      <c r="E70" s="19"/>
      <c r="F70" s="19"/>
      <c r="G70" s="19"/>
      <c r="H70" s="19"/>
      <c r="I70" s="19"/>
      <c r="J70" s="6"/>
      <c r="K70" s="6"/>
      <c r="L70" s="6"/>
      <c r="M70" s="6"/>
      <c r="N70" s="6"/>
      <c r="O70" s="6"/>
      <c r="P70" s="6"/>
      <c r="Q70" s="6"/>
    </row>
    <row r="71" spans="1:17" x14ac:dyDescent="0.35">
      <c r="A71" s="6"/>
      <c r="B71" s="6"/>
      <c r="C71" s="6"/>
      <c r="D71" s="19"/>
      <c r="E71" s="19"/>
      <c r="F71" s="19"/>
      <c r="G71" s="19"/>
      <c r="H71" s="19"/>
      <c r="I71" s="19"/>
      <c r="J71" s="6"/>
      <c r="K71" s="6"/>
      <c r="L71" s="6"/>
      <c r="M71" s="6"/>
      <c r="N71" s="6"/>
      <c r="O71" s="6"/>
      <c r="P71" s="6"/>
      <c r="Q71" s="6"/>
    </row>
    <row r="72" spans="1:17" x14ac:dyDescent="0.35">
      <c r="A72" s="6"/>
      <c r="B72" s="6"/>
      <c r="C72" s="6"/>
      <c r="D72" s="19"/>
      <c r="E72" s="19"/>
      <c r="F72" s="19"/>
      <c r="G72" s="19"/>
      <c r="H72" s="19"/>
      <c r="I72" s="19"/>
      <c r="J72" s="6"/>
      <c r="K72" s="6"/>
      <c r="L72" s="6"/>
      <c r="M72" s="6"/>
      <c r="N72" s="6"/>
      <c r="O72" s="6"/>
      <c r="P72" s="6"/>
      <c r="Q72" s="6"/>
    </row>
    <row r="73" spans="1:17" x14ac:dyDescent="0.35">
      <c r="A73" s="6"/>
      <c r="B73" s="6"/>
      <c r="C73" s="6"/>
      <c r="D73" s="6"/>
      <c r="E73" s="6"/>
      <c r="F73" s="6"/>
      <c r="G73" s="6"/>
      <c r="H73" s="6"/>
      <c r="I73" s="6"/>
      <c r="J73" s="6"/>
      <c r="K73" s="6"/>
      <c r="L73" s="6"/>
      <c r="M73" s="6"/>
      <c r="N73" s="6"/>
      <c r="O73" s="6"/>
      <c r="P73" s="6"/>
      <c r="Q73" s="6"/>
    </row>
    <row r="74" spans="1:17" x14ac:dyDescent="0.35">
      <c r="A74" s="6"/>
      <c r="B74" s="6"/>
      <c r="C74" s="6"/>
      <c r="D74" s="6"/>
      <c r="E74" s="6"/>
      <c r="F74" s="6"/>
      <c r="G74" s="6"/>
      <c r="H74" s="6"/>
      <c r="I74" s="6"/>
      <c r="J74" s="6"/>
      <c r="K74" s="6"/>
      <c r="L74" s="6"/>
      <c r="M74" s="6"/>
      <c r="N74" s="6"/>
      <c r="O74" s="6"/>
      <c r="P74" s="6"/>
      <c r="Q74" s="6"/>
    </row>
    <row r="75" spans="1:17" x14ac:dyDescent="0.35">
      <c r="A75" s="6"/>
      <c r="B75" s="6"/>
      <c r="C75" s="93" t="s">
        <v>86</v>
      </c>
      <c r="D75" s="6"/>
      <c r="E75" s="6"/>
      <c r="F75" s="6"/>
      <c r="G75" s="6"/>
      <c r="H75" s="6"/>
      <c r="I75" s="6"/>
      <c r="J75" s="6"/>
      <c r="K75" s="6"/>
      <c r="L75" s="6"/>
      <c r="M75" s="6"/>
      <c r="N75" s="6"/>
      <c r="O75" s="6"/>
      <c r="P75" s="6"/>
      <c r="Q75" s="6"/>
    </row>
    <row r="76" spans="1:17" x14ac:dyDescent="0.35">
      <c r="A76" s="6"/>
      <c r="B76" s="6"/>
      <c r="C76" s="93"/>
      <c r="D76" s="6"/>
      <c r="E76" s="6"/>
      <c r="F76" s="6"/>
      <c r="G76" s="6"/>
      <c r="H76" s="6"/>
      <c r="I76" s="6"/>
      <c r="J76" s="6"/>
      <c r="K76" s="6"/>
      <c r="L76" s="6"/>
      <c r="M76" s="6"/>
      <c r="N76" s="6"/>
      <c r="O76" s="6"/>
      <c r="P76" s="6"/>
      <c r="Q76" s="6"/>
    </row>
    <row r="77" spans="1:17" x14ac:dyDescent="0.35">
      <c r="A77" s="6"/>
      <c r="B77" s="6"/>
      <c r="C77" s="93"/>
      <c r="D77" s="6"/>
      <c r="E77" s="6"/>
      <c r="F77" s="6"/>
      <c r="G77" s="6"/>
      <c r="H77" s="6"/>
      <c r="I77" s="6"/>
      <c r="J77" s="6"/>
      <c r="K77" s="6"/>
      <c r="L77" s="6"/>
      <c r="M77" s="6"/>
      <c r="N77" s="6"/>
      <c r="O77" s="6"/>
      <c r="P77" s="6"/>
      <c r="Q77" s="6"/>
    </row>
    <row r="78" spans="1:17" x14ac:dyDescent="0.35">
      <c r="A78" s="6"/>
      <c r="B78" s="6"/>
      <c r="C78" s="93"/>
      <c r="D78" s="6"/>
      <c r="E78" s="6"/>
      <c r="F78" s="6"/>
      <c r="G78" s="6"/>
      <c r="H78" s="6"/>
      <c r="I78" s="6"/>
      <c r="J78" s="6"/>
      <c r="K78" s="6"/>
      <c r="L78" s="6"/>
      <c r="M78" s="6"/>
      <c r="N78" s="6"/>
      <c r="O78" s="6"/>
      <c r="P78" s="6"/>
      <c r="Q78" s="6"/>
    </row>
    <row r="79" spans="1:17" x14ac:dyDescent="0.35">
      <c r="A79" s="6"/>
      <c r="B79" s="6"/>
      <c r="C79" s="93"/>
      <c r="D79" s="6"/>
      <c r="E79" s="6"/>
      <c r="F79" s="6"/>
      <c r="G79" s="6"/>
      <c r="H79" s="6"/>
      <c r="I79" s="6"/>
      <c r="J79" s="6"/>
      <c r="K79" s="6"/>
      <c r="L79" s="6"/>
      <c r="M79" s="6"/>
      <c r="N79" s="6"/>
      <c r="O79" s="6"/>
      <c r="P79" s="6"/>
      <c r="Q79" s="6"/>
    </row>
    <row r="80" spans="1:17" x14ac:dyDescent="0.35">
      <c r="A80" s="6"/>
      <c r="B80" s="6"/>
      <c r="C80" s="93"/>
      <c r="D80" s="6"/>
      <c r="E80" s="6"/>
      <c r="F80" s="6"/>
      <c r="G80" s="6"/>
      <c r="H80" s="6"/>
      <c r="I80" s="6"/>
      <c r="J80" s="6"/>
      <c r="K80" s="6"/>
      <c r="L80" s="6"/>
      <c r="M80" s="6"/>
      <c r="N80" s="6"/>
      <c r="O80" s="6"/>
      <c r="P80" s="6"/>
      <c r="Q80" s="6"/>
    </row>
    <row r="81" spans="1:17" x14ac:dyDescent="0.35">
      <c r="A81" s="6"/>
      <c r="B81" s="6"/>
      <c r="C81" s="6"/>
      <c r="D81" s="6"/>
      <c r="E81" s="6"/>
      <c r="F81" s="6"/>
      <c r="G81" s="6"/>
      <c r="H81" s="6"/>
      <c r="I81" s="6"/>
      <c r="J81" s="6"/>
      <c r="K81" s="6"/>
      <c r="L81" s="6"/>
      <c r="M81" s="6"/>
      <c r="N81" s="6"/>
      <c r="O81" s="6"/>
      <c r="P81" s="6"/>
      <c r="Q81" s="6"/>
    </row>
    <row r="82" spans="1:17" x14ac:dyDescent="0.35">
      <c r="A82" s="6"/>
      <c r="B82" s="6"/>
      <c r="C82" s="6"/>
      <c r="D82" s="6"/>
      <c r="E82" s="6"/>
      <c r="F82" s="6"/>
      <c r="G82" s="6"/>
      <c r="H82" s="6"/>
      <c r="I82" s="6"/>
      <c r="J82" s="6"/>
      <c r="K82" s="6"/>
      <c r="L82" s="6"/>
      <c r="M82" s="6"/>
      <c r="N82" s="6"/>
      <c r="O82" s="6"/>
      <c r="P82" s="6"/>
      <c r="Q82" s="6"/>
    </row>
    <row r="83" spans="1:17" x14ac:dyDescent="0.35">
      <c r="A83" s="6"/>
      <c r="B83" s="6"/>
      <c r="C83" s="6"/>
      <c r="D83" s="6"/>
      <c r="E83" s="10"/>
      <c r="F83" s="6"/>
      <c r="G83" s="6"/>
      <c r="H83" s="6"/>
      <c r="I83" s="6"/>
      <c r="J83" s="6"/>
      <c r="K83" s="6"/>
      <c r="L83" s="6"/>
      <c r="M83" s="6"/>
      <c r="N83" s="6"/>
      <c r="O83" s="6"/>
      <c r="P83" s="6"/>
      <c r="Q83" s="6"/>
    </row>
    <row r="84" spans="1:17" x14ac:dyDescent="0.35">
      <c r="A84" s="6"/>
      <c r="B84" s="6"/>
      <c r="C84" s="6"/>
      <c r="D84" s="6"/>
      <c r="E84" s="6"/>
      <c r="F84" s="6"/>
      <c r="G84" s="6"/>
      <c r="H84" s="6"/>
      <c r="I84" s="6"/>
      <c r="J84" s="6"/>
      <c r="K84" s="6"/>
      <c r="L84" s="6"/>
      <c r="M84" s="6"/>
      <c r="N84" s="6"/>
      <c r="O84" s="6"/>
      <c r="P84" s="6"/>
      <c r="Q84" s="6"/>
    </row>
    <row r="85" spans="1:17" x14ac:dyDescent="0.35">
      <c r="A85" s="6"/>
      <c r="B85" s="6"/>
      <c r="C85" s="6"/>
      <c r="D85" s="6"/>
      <c r="E85" s="6"/>
      <c r="F85" s="6"/>
      <c r="G85" s="6"/>
      <c r="H85" s="6"/>
      <c r="I85" s="6"/>
      <c r="J85" s="6"/>
      <c r="K85" s="6"/>
      <c r="L85" s="6"/>
      <c r="M85" s="6"/>
      <c r="N85" s="6"/>
      <c r="O85" s="6"/>
      <c r="P85" s="6"/>
      <c r="Q85" s="6"/>
    </row>
    <row r="86" spans="1:17" x14ac:dyDescent="0.35">
      <c r="A86" s="6"/>
      <c r="B86" s="6"/>
      <c r="C86" s="6"/>
      <c r="D86" s="6"/>
      <c r="E86" s="6"/>
      <c r="F86" s="6"/>
      <c r="G86" s="6"/>
      <c r="H86" s="6"/>
      <c r="I86" s="6"/>
      <c r="J86" s="6"/>
      <c r="K86" s="6"/>
      <c r="L86" s="6"/>
      <c r="M86" s="6"/>
      <c r="N86" s="6"/>
      <c r="O86" s="6"/>
      <c r="P86" s="6"/>
      <c r="Q86" s="6"/>
    </row>
    <row r="87" spans="1:17" x14ac:dyDescent="0.35">
      <c r="A87" s="6"/>
      <c r="B87" s="6"/>
      <c r="C87" s="6"/>
      <c r="D87" s="6"/>
      <c r="E87" s="6"/>
      <c r="F87" s="6"/>
      <c r="G87" s="6"/>
      <c r="H87" s="6"/>
      <c r="I87" s="6"/>
      <c r="J87" s="6"/>
      <c r="K87" s="6"/>
      <c r="L87" s="6"/>
      <c r="M87" s="6"/>
      <c r="N87" s="6"/>
      <c r="O87" s="6"/>
      <c r="P87" s="6"/>
      <c r="Q87" s="6"/>
    </row>
    <row r="88" spans="1:17" x14ac:dyDescent="0.35">
      <c r="A88" s="6"/>
      <c r="B88" s="6"/>
      <c r="C88" s="16" t="s">
        <v>81</v>
      </c>
      <c r="D88" s="16" t="s">
        <v>82</v>
      </c>
      <c r="P88" s="6"/>
      <c r="Q88" s="6"/>
    </row>
    <row r="89" spans="1:17" x14ac:dyDescent="0.35">
      <c r="A89" s="6"/>
      <c r="B89" s="6"/>
      <c r="C89" s="16" t="s">
        <v>59</v>
      </c>
      <c r="D89" s="6" t="s">
        <v>38</v>
      </c>
      <c r="P89" s="6"/>
      <c r="Q89" s="6"/>
    </row>
    <row r="90" spans="1:17" x14ac:dyDescent="0.35">
      <c r="A90" s="6"/>
      <c r="B90" s="6"/>
      <c r="C90" s="17">
        <v>2023</v>
      </c>
      <c r="D90" s="18">
        <v>179.1</v>
      </c>
      <c r="P90" s="6"/>
      <c r="Q90" s="6"/>
    </row>
    <row r="91" spans="1:17" x14ac:dyDescent="0.35">
      <c r="A91" s="6"/>
      <c r="B91" s="6"/>
      <c r="P91" s="6"/>
      <c r="Q91" s="6"/>
    </row>
    <row r="92" spans="1:17" x14ac:dyDescent="0.35">
      <c r="A92" s="6"/>
      <c r="B92" s="6"/>
      <c r="P92" s="6"/>
      <c r="Q92" s="6"/>
    </row>
    <row r="93" spans="1:17" x14ac:dyDescent="0.35">
      <c r="A93" s="6"/>
      <c r="B93" s="6"/>
      <c r="P93" s="6"/>
      <c r="Q93" s="6"/>
    </row>
    <row r="94" spans="1:17" x14ac:dyDescent="0.35">
      <c r="A94" s="6"/>
      <c r="B94" s="6"/>
      <c r="P94" s="6"/>
      <c r="Q94" s="6"/>
    </row>
    <row r="95" spans="1:17" x14ac:dyDescent="0.35">
      <c r="A95" s="6"/>
      <c r="B95" s="6"/>
      <c r="P95" s="6"/>
      <c r="Q95" s="6"/>
    </row>
    <row r="96" spans="1:17" x14ac:dyDescent="0.35">
      <c r="A96" s="6"/>
      <c r="B96" s="6"/>
      <c r="P96" s="6"/>
      <c r="Q96" s="6"/>
    </row>
    <row r="97" spans="1:17" x14ac:dyDescent="0.35">
      <c r="A97" s="6"/>
      <c r="B97" s="6"/>
      <c r="P97" s="6"/>
      <c r="Q97" s="6"/>
    </row>
    <row r="98" spans="1:17" x14ac:dyDescent="0.35">
      <c r="A98" s="6"/>
      <c r="B98" s="6"/>
      <c r="P98" s="6"/>
      <c r="Q98" s="6"/>
    </row>
    <row r="99" spans="1:17" x14ac:dyDescent="0.35">
      <c r="A99" s="6"/>
      <c r="B99" s="6"/>
      <c r="P99" s="6"/>
      <c r="Q99" s="6"/>
    </row>
    <row r="100" spans="1:17" x14ac:dyDescent="0.35">
      <c r="A100" s="6"/>
      <c r="B100" s="6"/>
      <c r="P100" s="6"/>
      <c r="Q100" s="6"/>
    </row>
    <row r="101" spans="1:17" x14ac:dyDescent="0.35">
      <c r="A101" s="6"/>
      <c r="B101" s="6"/>
      <c r="C101" s="6"/>
      <c r="D101" s="6"/>
      <c r="E101" s="6"/>
      <c r="F101" s="6"/>
      <c r="G101" s="6"/>
      <c r="H101" s="6"/>
      <c r="I101" s="6"/>
      <c r="J101" s="6"/>
      <c r="K101" s="6"/>
      <c r="L101" s="6"/>
      <c r="M101" s="6"/>
      <c r="N101" s="6"/>
      <c r="O101" s="6"/>
      <c r="P101" s="6"/>
      <c r="Q101" s="6"/>
    </row>
  </sheetData>
  <mergeCells count="13">
    <mergeCell ref="D1:M1"/>
    <mergeCell ref="K45:L48"/>
    <mergeCell ref="A60:B68"/>
    <mergeCell ref="K61:L66"/>
    <mergeCell ref="C75:C80"/>
    <mergeCell ref="G9:J9"/>
    <mergeCell ref="K10:M25"/>
    <mergeCell ref="E37:F37"/>
    <mergeCell ref="E39:F39"/>
    <mergeCell ref="D33:H35"/>
    <mergeCell ref="K36:L43"/>
    <mergeCell ref="A34:B40"/>
    <mergeCell ref="A32:B32"/>
  </mergeCells>
  <conditionalFormatting sqref="D14:D27">
    <cfRule type="top10" priority="3" percent="1" rank="10"/>
  </conditionalFormatting>
  <conditionalFormatting pivot="1" sqref="D90">
    <cfRule type="colorScale" priority="2">
      <colorScale>
        <cfvo type="min"/>
        <cfvo type="percentile" val="50"/>
        <cfvo type="max"/>
        <color rgb="FFF8696B"/>
        <color rgb="FFFFEB84"/>
        <color rgb="FF63BE7B"/>
      </colorScale>
    </cfRule>
  </conditionalFormatting>
  <conditionalFormatting sqref="C15:C26">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2028D-4FBE-4A7D-8896-8B58D50EB5BF}">
  <dimension ref="A1:V31"/>
  <sheetViews>
    <sheetView zoomScale="70" zoomScaleNormal="70" workbookViewId="0">
      <selection activeCell="E26" sqref="E26"/>
    </sheetView>
  </sheetViews>
  <sheetFormatPr defaultRowHeight="14.5" x14ac:dyDescent="0.35"/>
  <cols>
    <col min="1" max="1" width="15" bestFit="1" customWidth="1"/>
    <col min="2" max="2" width="22.36328125" bestFit="1" customWidth="1"/>
    <col min="3" max="3" width="12.6328125" bestFit="1" customWidth="1"/>
    <col min="4" max="4" width="15.54296875" bestFit="1" customWidth="1"/>
    <col min="5" max="5" width="18.81640625" bestFit="1" customWidth="1"/>
    <col min="6" max="6" width="12.6328125" bestFit="1" customWidth="1"/>
  </cols>
  <sheetData>
    <row r="1" spans="1:22" ht="18.5" x14ac:dyDescent="0.45">
      <c r="A1" s="2" t="s">
        <v>0</v>
      </c>
      <c r="B1" t="s">
        <v>34</v>
      </c>
      <c r="D1" s="92" t="s">
        <v>192</v>
      </c>
      <c r="E1" s="92"/>
      <c r="F1" s="92"/>
      <c r="G1" s="92"/>
      <c r="H1" s="92"/>
      <c r="I1" s="92"/>
      <c r="J1" s="92"/>
      <c r="K1" s="92"/>
      <c r="L1" s="92"/>
      <c r="M1" s="92"/>
      <c r="N1" s="92"/>
      <c r="O1" s="92"/>
      <c r="P1" s="92"/>
      <c r="Q1" s="92"/>
      <c r="R1" s="92"/>
      <c r="S1" s="92"/>
      <c r="T1" s="92"/>
      <c r="U1" s="92"/>
      <c r="V1" s="92"/>
    </row>
    <row r="3" spans="1:22" x14ac:dyDescent="0.35">
      <c r="A3" s="2" t="s">
        <v>59</v>
      </c>
      <c r="B3" t="s">
        <v>81</v>
      </c>
      <c r="C3" s="8" t="s">
        <v>1</v>
      </c>
      <c r="D3" s="10" t="s">
        <v>91</v>
      </c>
      <c r="M3" s="93" t="s">
        <v>92</v>
      </c>
      <c r="N3" s="93"/>
      <c r="O3" s="93"/>
      <c r="P3" s="93"/>
      <c r="Q3" s="93"/>
      <c r="R3" s="93"/>
    </row>
    <row r="4" spans="1:22" x14ac:dyDescent="0.35">
      <c r="A4" s="3">
        <v>2016</v>
      </c>
      <c r="B4" s="1">
        <v>129.19999999999999</v>
      </c>
      <c r="C4" s="9">
        <v>2017</v>
      </c>
      <c r="D4" s="26">
        <f>(B5-B4)/B4</f>
        <v>3.3281733746129902E-2</v>
      </c>
      <c r="M4" s="93"/>
      <c r="N4" s="93"/>
      <c r="O4" s="93"/>
      <c r="P4" s="93"/>
      <c r="Q4" s="93"/>
      <c r="R4" s="93"/>
    </row>
    <row r="5" spans="1:22" x14ac:dyDescent="0.35">
      <c r="A5" s="3">
        <v>2017</v>
      </c>
      <c r="B5" s="1">
        <v>133.49999999999997</v>
      </c>
      <c r="C5" s="9">
        <v>2018</v>
      </c>
      <c r="D5" s="26">
        <f>(B6-B5)/B5</f>
        <v>3.9513108614232476E-2</v>
      </c>
      <c r="M5" s="93"/>
      <c r="N5" s="93"/>
      <c r="O5" s="93"/>
      <c r="P5" s="93"/>
      <c r="Q5" s="93"/>
      <c r="R5" s="93"/>
    </row>
    <row r="6" spans="1:22" x14ac:dyDescent="0.35">
      <c r="A6" s="3">
        <v>2018</v>
      </c>
      <c r="B6" s="1">
        <v>138.77500000000001</v>
      </c>
      <c r="C6" s="9">
        <v>2019</v>
      </c>
      <c r="D6" s="26">
        <f t="shared" ref="D6:D10" si="0">(B7-B6)/B6</f>
        <v>3.8961038961039161E-2</v>
      </c>
      <c r="M6" s="93"/>
      <c r="N6" s="93"/>
      <c r="O6" s="93"/>
      <c r="P6" s="93"/>
      <c r="Q6" s="93"/>
      <c r="R6" s="93"/>
    </row>
    <row r="7" spans="1:22" x14ac:dyDescent="0.35">
      <c r="A7" s="3">
        <v>2019</v>
      </c>
      <c r="B7" s="1">
        <v>144.18181818181822</v>
      </c>
      <c r="C7" s="9">
        <v>2020</v>
      </c>
      <c r="D7" s="26">
        <f>(B8-B7)/B7</f>
        <v>6.0119798234552047E-2</v>
      </c>
    </row>
    <row r="8" spans="1:22" ht="14.5" customHeight="1" x14ac:dyDescent="0.35">
      <c r="A8" s="3">
        <v>2020</v>
      </c>
      <c r="B8" s="1">
        <v>152.85</v>
      </c>
      <c r="C8" s="9">
        <v>2021</v>
      </c>
      <c r="D8" s="26">
        <f t="shared" si="0"/>
        <v>5.6318831098026302E-2</v>
      </c>
      <c r="M8" s="93" t="s">
        <v>188</v>
      </c>
      <c r="N8" s="93"/>
      <c r="O8" s="93"/>
      <c r="P8" s="93"/>
      <c r="Q8" s="93"/>
      <c r="R8" s="93"/>
      <c r="S8" s="93"/>
    </row>
    <row r="9" spans="1:22" x14ac:dyDescent="0.35">
      <c r="A9" s="3">
        <v>2021</v>
      </c>
      <c r="B9" s="1">
        <v>161.45833333333331</v>
      </c>
      <c r="C9" s="9">
        <v>2022</v>
      </c>
      <c r="D9" s="26">
        <f t="shared" si="0"/>
        <v>6.6219354838709665E-2</v>
      </c>
      <c r="M9" s="93"/>
      <c r="N9" s="93"/>
      <c r="O9" s="93"/>
      <c r="P9" s="93"/>
      <c r="Q9" s="93"/>
      <c r="R9" s="93"/>
      <c r="S9" s="93"/>
    </row>
    <row r="10" spans="1:22" x14ac:dyDescent="0.35">
      <c r="A10" s="3">
        <v>2022</v>
      </c>
      <c r="B10" s="1">
        <v>172.14999999999998</v>
      </c>
      <c r="C10" s="9">
        <v>2023</v>
      </c>
      <c r="D10" s="26">
        <f t="shared" si="0"/>
        <v>3.1774615161196632E-2</v>
      </c>
      <c r="M10" s="93"/>
      <c r="N10" s="93"/>
      <c r="O10" s="93"/>
      <c r="P10" s="93"/>
      <c r="Q10" s="93"/>
      <c r="R10" s="93"/>
      <c r="S10" s="93"/>
    </row>
    <row r="11" spans="1:22" x14ac:dyDescent="0.35">
      <c r="A11" s="3">
        <v>2023</v>
      </c>
      <c r="B11" s="1">
        <v>177.61999999999998</v>
      </c>
      <c r="M11" s="93"/>
      <c r="N11" s="93"/>
      <c r="O11" s="93"/>
      <c r="P11" s="93"/>
      <c r="Q11" s="93"/>
      <c r="R11" s="93"/>
      <c r="S11" s="93"/>
    </row>
    <row r="12" spans="1:22" x14ac:dyDescent="0.35">
      <c r="M12" s="93"/>
      <c r="N12" s="93"/>
      <c r="O12" s="93"/>
      <c r="P12" s="93"/>
      <c r="Q12" s="93"/>
      <c r="R12" s="93"/>
      <c r="S12" s="93"/>
    </row>
    <row r="13" spans="1:22" x14ac:dyDescent="0.35">
      <c r="B13" s="10" t="s">
        <v>93</v>
      </c>
      <c r="C13" s="48">
        <v>2022</v>
      </c>
      <c r="M13" s="93"/>
      <c r="N13" s="93"/>
      <c r="O13" s="93"/>
      <c r="P13" s="93"/>
      <c r="Q13" s="93"/>
      <c r="R13" s="93"/>
      <c r="S13" s="93"/>
    </row>
    <row r="14" spans="1:22" x14ac:dyDescent="0.35">
      <c r="B14" s="10" t="s">
        <v>94</v>
      </c>
      <c r="C14" s="56">
        <v>6.6199999999999995E-2</v>
      </c>
      <c r="M14" s="93"/>
      <c r="N14" s="93"/>
      <c r="O14" s="93"/>
      <c r="P14" s="93"/>
      <c r="Q14" s="93"/>
      <c r="R14" s="93"/>
      <c r="S14" s="93"/>
    </row>
    <row r="15" spans="1:22" x14ac:dyDescent="0.35">
      <c r="B15" s="10" t="s">
        <v>97</v>
      </c>
      <c r="C15" s="48" t="s">
        <v>95</v>
      </c>
      <c r="M15" s="93"/>
      <c r="N15" s="93"/>
      <c r="O15" s="93"/>
      <c r="P15" s="93"/>
      <c r="Q15" s="93"/>
      <c r="R15" s="93"/>
      <c r="S15" s="93"/>
    </row>
    <row r="16" spans="1:22" x14ac:dyDescent="0.35">
      <c r="B16" s="10" t="s">
        <v>98</v>
      </c>
      <c r="C16" s="48" t="s">
        <v>96</v>
      </c>
      <c r="M16" s="93"/>
      <c r="N16" s="93"/>
      <c r="O16" s="93"/>
      <c r="P16" s="93"/>
      <c r="Q16" s="93"/>
      <c r="R16" s="93"/>
      <c r="S16" s="93"/>
    </row>
    <row r="17" spans="2:19" x14ac:dyDescent="0.35">
      <c r="C17" s="6"/>
      <c r="M17" s="93"/>
      <c r="N17" s="93"/>
      <c r="O17" s="93"/>
      <c r="P17" s="93"/>
      <c r="Q17" s="93"/>
      <c r="R17" s="93"/>
      <c r="S17" s="93"/>
    </row>
    <row r="18" spans="2:19" x14ac:dyDescent="0.35">
      <c r="B18" s="104" t="s">
        <v>99</v>
      </c>
      <c r="C18" s="101" t="s">
        <v>100</v>
      </c>
      <c r="D18" s="101"/>
      <c r="M18" s="93"/>
      <c r="N18" s="93"/>
      <c r="O18" s="93"/>
      <c r="P18" s="93"/>
      <c r="Q18" s="93"/>
      <c r="R18" s="93"/>
      <c r="S18" s="93"/>
    </row>
    <row r="19" spans="2:19" x14ac:dyDescent="0.35">
      <c r="B19" s="106"/>
      <c r="C19" s="101"/>
      <c r="D19" s="101"/>
      <c r="M19" s="93"/>
      <c r="N19" s="93"/>
      <c r="O19" s="93"/>
      <c r="P19" s="93"/>
      <c r="Q19" s="93"/>
      <c r="R19" s="93"/>
      <c r="S19" s="93"/>
    </row>
    <row r="20" spans="2:19" x14ac:dyDescent="0.35">
      <c r="B20" s="105"/>
      <c r="C20" s="101"/>
      <c r="D20" s="101"/>
      <c r="M20" s="93"/>
      <c r="N20" s="93"/>
      <c r="O20" s="93"/>
      <c r="P20" s="93"/>
      <c r="Q20" s="93"/>
      <c r="R20" s="93"/>
      <c r="S20" s="93"/>
    </row>
    <row r="21" spans="2:19" x14ac:dyDescent="0.35">
      <c r="M21" s="93"/>
      <c r="N21" s="93"/>
      <c r="O21" s="93"/>
      <c r="P21" s="93"/>
      <c r="Q21" s="93"/>
      <c r="R21" s="93"/>
      <c r="S21" s="93"/>
    </row>
    <row r="22" spans="2:19" x14ac:dyDescent="0.35">
      <c r="B22" s="104" t="s">
        <v>101</v>
      </c>
      <c r="C22" s="102" t="s">
        <v>102</v>
      </c>
      <c r="D22" s="103"/>
      <c r="E22" s="103"/>
      <c r="M22" s="93"/>
      <c r="N22" s="93"/>
      <c r="O22" s="93"/>
      <c r="P22" s="93"/>
      <c r="Q22" s="93"/>
      <c r="R22" s="93"/>
      <c r="S22" s="93"/>
    </row>
    <row r="23" spans="2:19" x14ac:dyDescent="0.35">
      <c r="B23" s="105"/>
      <c r="C23" s="102"/>
      <c r="D23" s="103"/>
      <c r="E23" s="103"/>
    </row>
    <row r="25" spans="2:19" ht="14.5" customHeight="1" x14ac:dyDescent="0.35">
      <c r="B25" s="99" t="s">
        <v>232</v>
      </c>
      <c r="C25" s="99"/>
      <c r="D25" s="99"/>
    </row>
    <row r="26" spans="2:19" x14ac:dyDescent="0.35">
      <c r="B26" s="99"/>
      <c r="C26" s="99"/>
      <c r="D26" s="99"/>
    </row>
    <row r="27" spans="2:19" x14ac:dyDescent="0.35">
      <c r="B27" s="99"/>
      <c r="C27" s="99"/>
      <c r="D27" s="99"/>
    </row>
    <row r="28" spans="2:19" x14ac:dyDescent="0.35">
      <c r="B28" s="99"/>
      <c r="C28" s="99"/>
      <c r="D28" s="99"/>
    </row>
    <row r="29" spans="2:19" x14ac:dyDescent="0.35">
      <c r="B29" s="99"/>
      <c r="C29" s="99"/>
      <c r="D29" s="99"/>
    </row>
    <row r="30" spans="2:19" x14ac:dyDescent="0.35">
      <c r="B30" s="99"/>
      <c r="C30" s="99"/>
      <c r="D30" s="99"/>
    </row>
    <row r="31" spans="2:19" x14ac:dyDescent="0.35">
      <c r="B31" s="99"/>
      <c r="C31" s="99"/>
      <c r="D31" s="99"/>
    </row>
  </sheetData>
  <mergeCells count="8">
    <mergeCell ref="B25:D31"/>
    <mergeCell ref="D1:V1"/>
    <mergeCell ref="M3:R6"/>
    <mergeCell ref="C18:D20"/>
    <mergeCell ref="C22:E23"/>
    <mergeCell ref="B22:B23"/>
    <mergeCell ref="B18:B20"/>
    <mergeCell ref="M8:S22"/>
  </mergeCells>
  <conditionalFormatting sqref="D4:D10">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BAC03-523A-4C7A-A5AF-3539DAB7A102}">
  <dimension ref="A1:P121"/>
  <sheetViews>
    <sheetView topLeftCell="G78" zoomScale="49" zoomScaleNormal="58" workbookViewId="0">
      <selection activeCell="O115" sqref="O115"/>
    </sheetView>
  </sheetViews>
  <sheetFormatPr defaultRowHeight="14.5" x14ac:dyDescent="0.35"/>
  <cols>
    <col min="1" max="1" width="19.1796875" bestFit="1" customWidth="1"/>
    <col min="2" max="2" width="20.453125" bestFit="1" customWidth="1"/>
    <col min="3" max="3" width="7.1796875" customWidth="1"/>
    <col min="4" max="4" width="19.1796875" bestFit="1" customWidth="1"/>
    <col min="5" max="5" width="40" bestFit="1" customWidth="1"/>
    <col min="6" max="6" width="30.90625" bestFit="1" customWidth="1"/>
    <col min="7" max="7" width="19.54296875" bestFit="1" customWidth="1"/>
    <col min="8" max="8" width="36.08984375" bestFit="1" customWidth="1"/>
    <col min="9" max="9" width="30" bestFit="1" customWidth="1"/>
    <col min="10" max="10" width="21.6328125" bestFit="1" customWidth="1"/>
    <col min="11" max="11" width="27.7265625" bestFit="1" customWidth="1"/>
    <col min="12" max="12" width="39.26953125" bestFit="1" customWidth="1"/>
    <col min="13" max="13" width="44.26953125" bestFit="1" customWidth="1"/>
    <col min="14" max="14" width="22.7265625" bestFit="1" customWidth="1"/>
    <col min="15" max="15" width="42.90625" bestFit="1" customWidth="1"/>
    <col min="16" max="16" width="57.6328125" bestFit="1" customWidth="1"/>
    <col min="17" max="17" width="18.54296875" bestFit="1" customWidth="1"/>
    <col min="18" max="18" width="28" bestFit="1" customWidth="1"/>
    <col min="19" max="19" width="18.54296875" bestFit="1" customWidth="1"/>
    <col min="20" max="20" width="28" bestFit="1" customWidth="1"/>
    <col min="21" max="21" width="18.54296875" bestFit="1" customWidth="1"/>
    <col min="22" max="22" width="28" bestFit="1" customWidth="1"/>
    <col min="23" max="23" width="18.54296875" bestFit="1" customWidth="1"/>
    <col min="24" max="24" width="28" bestFit="1" customWidth="1"/>
    <col min="25" max="25" width="18.54296875" bestFit="1" customWidth="1"/>
    <col min="26" max="26" width="28" bestFit="1" customWidth="1"/>
    <col min="27" max="27" width="18.54296875" bestFit="1" customWidth="1"/>
  </cols>
  <sheetData>
    <row r="1" spans="1:15" ht="18.5" x14ac:dyDescent="0.45">
      <c r="A1" s="2" t="s">
        <v>0</v>
      </c>
      <c r="B1" t="s">
        <v>34</v>
      </c>
      <c r="H1" s="132" t="s">
        <v>193</v>
      </c>
      <c r="I1" s="92"/>
      <c r="J1" s="92"/>
      <c r="K1" s="92"/>
      <c r="L1" s="92"/>
      <c r="M1" s="92"/>
      <c r="N1" s="92"/>
      <c r="O1" s="92"/>
    </row>
    <row r="2" spans="1:15" ht="21" x14ac:dyDescent="0.35">
      <c r="D2" s="108" t="s">
        <v>133</v>
      </c>
      <c r="E2" s="108"/>
      <c r="F2" s="108"/>
      <c r="G2" s="108"/>
    </row>
    <row r="3" spans="1:15" x14ac:dyDescent="0.35">
      <c r="A3" s="2" t="s">
        <v>59</v>
      </c>
      <c r="B3" t="s">
        <v>60</v>
      </c>
    </row>
    <row r="4" spans="1:15" x14ac:dyDescent="0.35">
      <c r="A4" s="28">
        <v>44682</v>
      </c>
      <c r="B4" s="1">
        <v>172.13333333333335</v>
      </c>
      <c r="D4" s="10" t="s">
        <v>49</v>
      </c>
      <c r="E4" s="10" t="s">
        <v>104</v>
      </c>
      <c r="F4" s="10" t="s">
        <v>105</v>
      </c>
      <c r="G4" s="10" t="s">
        <v>106</v>
      </c>
      <c r="I4" s="109" t="s">
        <v>111</v>
      </c>
      <c r="J4" s="109"/>
      <c r="K4" s="109"/>
      <c r="L4" s="109"/>
      <c r="M4" s="27">
        <v>5.8700000000000002E-2</v>
      </c>
    </row>
    <row r="5" spans="1:15" x14ac:dyDescent="0.35">
      <c r="A5" s="28">
        <v>44713</v>
      </c>
      <c r="B5" s="1">
        <v>173.91666666666666</v>
      </c>
      <c r="D5" s="29">
        <v>44713</v>
      </c>
      <c r="E5" s="25">
        <v>173.91666666666666</v>
      </c>
      <c r="F5" s="26">
        <f t="shared" ref="F5:F16" si="0">(B5/B4)-1</f>
        <v>1.0360185902400953E-2</v>
      </c>
      <c r="G5" s="26">
        <f t="shared" ref="G5:G16" si="1">(E5/B24)-1</f>
        <v>5.8692233551463469E-2</v>
      </c>
      <c r="I5" s="111"/>
      <c r="J5" s="111"/>
      <c r="K5" s="111"/>
      <c r="L5" s="111"/>
      <c r="M5" s="111"/>
    </row>
    <row r="6" spans="1:15" x14ac:dyDescent="0.35">
      <c r="A6" s="28">
        <v>44743</v>
      </c>
      <c r="B6" s="1">
        <v>174.27500000000001</v>
      </c>
      <c r="D6" s="29">
        <v>44743</v>
      </c>
      <c r="E6" s="25">
        <v>174.27500000000001</v>
      </c>
      <c r="F6" s="26">
        <f t="shared" si="0"/>
        <v>2.0603737422137947E-3</v>
      </c>
      <c r="G6" s="26">
        <f t="shared" si="1"/>
        <v>5.4614220877458264E-2</v>
      </c>
      <c r="I6" s="109" t="s">
        <v>112</v>
      </c>
      <c r="J6" s="109"/>
      <c r="K6" s="109"/>
      <c r="L6" s="109"/>
      <c r="M6" s="27">
        <v>3.0099999999999998E-2</v>
      </c>
    </row>
    <row r="7" spans="1:15" x14ac:dyDescent="0.35">
      <c r="A7" s="28">
        <v>44774</v>
      </c>
      <c r="B7" s="1">
        <v>174.40833333333333</v>
      </c>
      <c r="D7" s="29">
        <v>44774</v>
      </c>
      <c r="E7" s="25">
        <v>174.40833333333333</v>
      </c>
      <c r="F7" s="26">
        <f t="shared" si="0"/>
        <v>7.6507435566397497E-4</v>
      </c>
      <c r="G7" s="26">
        <f t="shared" si="1"/>
        <v>5.808897876643071E-2</v>
      </c>
    </row>
    <row r="8" spans="1:15" x14ac:dyDescent="0.35">
      <c r="A8" s="28">
        <v>44805</v>
      </c>
      <c r="B8" s="1">
        <v>175.25833333333333</v>
      </c>
      <c r="D8" s="29">
        <v>44805</v>
      </c>
      <c r="E8" s="25">
        <v>175.25833333333333</v>
      </c>
      <c r="F8" s="26">
        <f t="shared" si="0"/>
        <v>4.873620335419826E-3</v>
      </c>
      <c r="G8" s="26">
        <f t="shared" si="1"/>
        <v>6.3245702730030162E-2</v>
      </c>
      <c r="I8" s="126" t="s">
        <v>113</v>
      </c>
      <c r="J8" s="126"/>
      <c r="K8" s="126"/>
      <c r="L8" s="126"/>
      <c r="M8" s="126"/>
      <c r="N8" s="27">
        <f>M6-M4</f>
        <v>-2.8600000000000004E-2</v>
      </c>
    </row>
    <row r="9" spans="1:15" x14ac:dyDescent="0.35">
      <c r="A9" s="28">
        <v>44835</v>
      </c>
      <c r="B9" s="1">
        <v>176.47500000000002</v>
      </c>
      <c r="D9" s="29">
        <v>44835</v>
      </c>
      <c r="E9" s="25">
        <v>176.47500000000002</v>
      </c>
      <c r="F9" s="26">
        <f t="shared" si="0"/>
        <v>6.9421330417005489E-3</v>
      </c>
      <c r="G9" s="26">
        <f t="shared" si="1"/>
        <v>5.4736527542583957E-2</v>
      </c>
    </row>
    <row r="10" spans="1:15" x14ac:dyDescent="0.35">
      <c r="A10" s="28">
        <v>44866</v>
      </c>
      <c r="B10" s="1">
        <v>176.54166666666666</v>
      </c>
      <c r="D10" s="29">
        <v>44866</v>
      </c>
      <c r="E10" s="25">
        <v>176.54166666666666</v>
      </c>
      <c r="F10" s="26">
        <f t="shared" si="0"/>
        <v>3.7776833356928385E-4</v>
      </c>
      <c r="G10" s="26">
        <f t="shared" si="1"/>
        <v>4.6482908516103594E-2</v>
      </c>
    </row>
    <row r="11" spans="1:15" x14ac:dyDescent="0.35">
      <c r="A11" s="28">
        <v>44896</v>
      </c>
      <c r="B11" s="1">
        <v>175.625</v>
      </c>
      <c r="D11" s="29">
        <v>44896</v>
      </c>
      <c r="E11" s="25">
        <v>175.625</v>
      </c>
      <c r="F11" s="26">
        <f t="shared" si="0"/>
        <v>-5.1923530800094264E-3</v>
      </c>
      <c r="G11" s="26">
        <f t="shared" si="1"/>
        <v>4.7100909226412302E-2</v>
      </c>
    </row>
    <row r="12" spans="1:15" x14ac:dyDescent="0.35">
      <c r="A12" s="28">
        <v>44927</v>
      </c>
      <c r="B12" s="1">
        <v>176.33333333333334</v>
      </c>
      <c r="D12" s="29">
        <v>44927</v>
      </c>
      <c r="E12" s="25">
        <v>176.33333333333334</v>
      </c>
      <c r="F12" s="26">
        <f t="shared" si="0"/>
        <v>4.0332147093713466E-3</v>
      </c>
      <c r="G12" s="26">
        <f t="shared" si="1"/>
        <v>5.9165081589748869E-2</v>
      </c>
    </row>
    <row r="13" spans="1:15" x14ac:dyDescent="0.35">
      <c r="A13" s="28">
        <v>44958</v>
      </c>
      <c r="B13" s="1">
        <v>175.17499999999998</v>
      </c>
      <c r="D13" s="29">
        <v>44958</v>
      </c>
      <c r="E13" s="25">
        <v>175.17499999999998</v>
      </c>
      <c r="F13" s="26">
        <f t="shared" si="0"/>
        <v>-6.5689981096409555E-3</v>
      </c>
      <c r="G13" s="26">
        <f t="shared" si="1"/>
        <v>5.3684210526315557E-2</v>
      </c>
      <c r="I13" s="112" t="s">
        <v>114</v>
      </c>
      <c r="J13" s="113"/>
      <c r="K13" s="113"/>
      <c r="L13" s="113"/>
      <c r="M13" s="113"/>
      <c r="N13" s="114"/>
    </row>
    <row r="14" spans="1:15" ht="14.5" customHeight="1" x14ac:dyDescent="0.35">
      <c r="A14" s="28">
        <v>44986</v>
      </c>
      <c r="B14" s="1">
        <v>175.18333333333331</v>
      </c>
      <c r="D14" s="29">
        <v>44986</v>
      </c>
      <c r="E14" s="25">
        <v>175.18333333333331</v>
      </c>
      <c r="F14" s="26">
        <f t="shared" si="0"/>
        <v>4.7571476142760361E-5</v>
      </c>
      <c r="G14" s="26">
        <f t="shared" si="1"/>
        <v>4.286139497966035E-2</v>
      </c>
      <c r="I14" s="115"/>
      <c r="J14" s="93"/>
      <c r="K14" s="93"/>
      <c r="L14" s="93"/>
      <c r="M14" s="93"/>
      <c r="N14" s="116"/>
    </row>
    <row r="15" spans="1:15" x14ac:dyDescent="0.35">
      <c r="A15" s="28">
        <v>45017</v>
      </c>
      <c r="B15" s="1">
        <v>175.97500000000002</v>
      </c>
      <c r="D15" s="29">
        <v>45017</v>
      </c>
      <c r="E15" s="25">
        <v>175.97500000000002</v>
      </c>
      <c r="F15" s="26">
        <f t="shared" si="0"/>
        <v>4.5190752544954638E-3</v>
      </c>
      <c r="G15" s="26">
        <f t="shared" si="1"/>
        <v>3.3374113041350739E-2</v>
      </c>
      <c r="I15" s="117"/>
      <c r="J15" s="118"/>
      <c r="K15" s="118"/>
      <c r="L15" s="118"/>
      <c r="M15" s="118"/>
      <c r="N15" s="119"/>
    </row>
    <row r="16" spans="1:15" x14ac:dyDescent="0.35">
      <c r="A16" s="28">
        <v>45047</v>
      </c>
      <c r="B16" s="1">
        <v>177.31666666666669</v>
      </c>
      <c r="D16" s="29">
        <v>45047</v>
      </c>
      <c r="E16" s="25">
        <v>177.31666666666669</v>
      </c>
      <c r="F16" s="26">
        <f t="shared" si="0"/>
        <v>7.6241890420041258E-3</v>
      </c>
      <c r="G16" s="26">
        <f t="shared" si="1"/>
        <v>3.0112316034082154E-2</v>
      </c>
    </row>
    <row r="18" spans="1:16" x14ac:dyDescent="0.35">
      <c r="A18" s="93" t="s">
        <v>189</v>
      </c>
      <c r="B18" s="93"/>
      <c r="D18" s="127" t="s">
        <v>107</v>
      </c>
      <c r="E18" s="127"/>
      <c r="F18" s="30">
        <v>44713</v>
      </c>
      <c r="G18" s="27">
        <v>1.04E-2</v>
      </c>
      <c r="I18" s="93" t="s">
        <v>134</v>
      </c>
      <c r="J18" s="93"/>
      <c r="K18" s="93"/>
      <c r="L18" s="93"/>
      <c r="M18" s="93"/>
    </row>
    <row r="19" spans="1:16" x14ac:dyDescent="0.35">
      <c r="D19" s="111"/>
      <c r="E19" s="111"/>
      <c r="F19" s="111"/>
      <c r="G19" s="111"/>
      <c r="I19" s="93"/>
      <c r="J19" s="93"/>
      <c r="K19" s="93"/>
      <c r="L19" s="93"/>
      <c r="M19" s="93"/>
    </row>
    <row r="20" spans="1:16" x14ac:dyDescent="0.35">
      <c r="A20" s="2" t="s">
        <v>0</v>
      </c>
      <c r="B20" t="s">
        <v>34</v>
      </c>
      <c r="D20" s="124" t="s">
        <v>108</v>
      </c>
      <c r="E20" s="124"/>
      <c r="F20" s="30">
        <v>44958</v>
      </c>
      <c r="G20" s="27">
        <v>-6.6E-3</v>
      </c>
      <c r="I20" s="93"/>
      <c r="J20" s="93"/>
      <c r="K20" s="93"/>
      <c r="L20" s="93"/>
      <c r="M20" s="93"/>
    </row>
    <row r="22" spans="1:16" x14ac:dyDescent="0.35">
      <c r="A22" s="2" t="s">
        <v>59</v>
      </c>
      <c r="B22" t="s">
        <v>60</v>
      </c>
      <c r="D22" s="124" t="s">
        <v>109</v>
      </c>
      <c r="E22" s="124"/>
      <c r="F22" s="30">
        <v>44805</v>
      </c>
      <c r="G22" s="27">
        <v>6.3200000000000006E-2</v>
      </c>
      <c r="I22" s="93" t="s">
        <v>135</v>
      </c>
      <c r="J22" s="93"/>
      <c r="K22" s="93"/>
      <c r="L22" s="93"/>
      <c r="M22" s="93"/>
    </row>
    <row r="23" spans="1:16" x14ac:dyDescent="0.35">
      <c r="A23" s="28">
        <v>44317</v>
      </c>
      <c r="B23" s="1">
        <v>162.08333333333334</v>
      </c>
      <c r="D23" s="125"/>
      <c r="E23" s="125"/>
      <c r="F23" s="125"/>
      <c r="G23" s="125"/>
      <c r="I23" s="93"/>
      <c r="J23" s="93"/>
      <c r="K23" s="93"/>
      <c r="L23" s="93"/>
      <c r="M23" s="93"/>
    </row>
    <row r="24" spans="1:16" x14ac:dyDescent="0.35">
      <c r="A24" s="28">
        <v>44348</v>
      </c>
      <c r="B24" s="1">
        <v>164.27500000000001</v>
      </c>
      <c r="D24" s="124" t="s">
        <v>110</v>
      </c>
      <c r="E24" s="124"/>
      <c r="F24" s="30">
        <v>45047</v>
      </c>
      <c r="G24" s="27">
        <v>3.0099999999999998E-2</v>
      </c>
      <c r="I24" s="93"/>
      <c r="J24" s="93"/>
      <c r="K24" s="93"/>
      <c r="L24" s="93"/>
      <c r="M24" s="93"/>
    </row>
    <row r="25" spans="1:16" x14ac:dyDescent="0.35">
      <c r="A25" s="28">
        <v>44378</v>
      </c>
      <c r="B25" s="1">
        <v>165.25000000000003</v>
      </c>
    </row>
    <row r="26" spans="1:16" x14ac:dyDescent="0.35">
      <c r="A26" s="28">
        <v>44409</v>
      </c>
      <c r="B26" s="1">
        <v>164.83333333333334</v>
      </c>
    </row>
    <row r="27" spans="1:16" x14ac:dyDescent="0.35">
      <c r="A27" s="28">
        <v>44440</v>
      </c>
      <c r="B27" s="1">
        <v>164.83333333333334</v>
      </c>
    </row>
    <row r="28" spans="1:16" x14ac:dyDescent="0.35">
      <c r="A28" s="28">
        <v>44470</v>
      </c>
      <c r="B28" s="1">
        <v>167.31666666666669</v>
      </c>
      <c r="D28" s="2" t="s">
        <v>0</v>
      </c>
      <c r="E28" t="s">
        <v>34</v>
      </c>
    </row>
    <row r="29" spans="1:16" x14ac:dyDescent="0.35">
      <c r="A29" s="28">
        <v>44501</v>
      </c>
      <c r="B29" s="1">
        <v>168.7</v>
      </c>
    </row>
    <row r="30" spans="1:16" x14ac:dyDescent="0.35">
      <c r="A30" s="28">
        <v>44531</v>
      </c>
      <c r="B30" s="1">
        <v>167.72499999999999</v>
      </c>
      <c r="D30" s="2" t="s">
        <v>59</v>
      </c>
      <c r="E30" t="s">
        <v>103</v>
      </c>
      <c r="F30" t="s">
        <v>115</v>
      </c>
      <c r="G30" t="s">
        <v>125</v>
      </c>
      <c r="H30" t="s">
        <v>124</v>
      </c>
      <c r="I30" t="s">
        <v>123</v>
      </c>
      <c r="J30" t="s">
        <v>122</v>
      </c>
      <c r="K30" t="s">
        <v>121</v>
      </c>
      <c r="L30" t="s">
        <v>120</v>
      </c>
      <c r="M30" t="s">
        <v>119</v>
      </c>
      <c r="N30" t="s">
        <v>118</v>
      </c>
      <c r="O30" t="s">
        <v>117</v>
      </c>
      <c r="P30" t="s">
        <v>116</v>
      </c>
    </row>
    <row r="31" spans="1:16" x14ac:dyDescent="0.35">
      <c r="A31" s="28">
        <v>44562</v>
      </c>
      <c r="B31" s="1">
        <v>166.48333333333332</v>
      </c>
      <c r="D31" s="28">
        <v>44713</v>
      </c>
      <c r="E31" s="1">
        <v>155</v>
      </c>
      <c r="F31" s="1">
        <v>219.4</v>
      </c>
      <c r="G31" s="1">
        <v>170.8</v>
      </c>
      <c r="H31" s="1">
        <v>165.8</v>
      </c>
      <c r="I31" s="1">
        <v>200.9</v>
      </c>
      <c r="J31" s="1">
        <v>169.7</v>
      </c>
      <c r="K31" s="1">
        <v>182.3</v>
      </c>
      <c r="L31" s="1">
        <v>164.3</v>
      </c>
      <c r="M31" s="1">
        <v>119.9</v>
      </c>
      <c r="N31" s="1">
        <v>187.1</v>
      </c>
      <c r="O31" s="1">
        <v>167.9</v>
      </c>
      <c r="P31" s="1">
        <v>183.9</v>
      </c>
    </row>
    <row r="32" spans="1:16" x14ac:dyDescent="0.35">
      <c r="A32" s="28">
        <v>44593</v>
      </c>
      <c r="B32" s="1">
        <v>166.25000000000003</v>
      </c>
      <c r="D32" s="28">
        <v>45047</v>
      </c>
      <c r="E32" s="1">
        <v>173.7</v>
      </c>
      <c r="F32" s="1">
        <v>214.3</v>
      </c>
      <c r="G32" s="1">
        <v>173.2</v>
      </c>
      <c r="H32" s="1">
        <v>179.5</v>
      </c>
      <c r="I32" s="1">
        <v>170</v>
      </c>
      <c r="J32" s="1">
        <v>172.2</v>
      </c>
      <c r="K32" s="1">
        <v>161</v>
      </c>
      <c r="L32" s="1">
        <v>175.6</v>
      </c>
      <c r="M32" s="1">
        <v>122.7</v>
      </c>
      <c r="N32" s="1">
        <v>218</v>
      </c>
      <c r="O32" s="1">
        <v>173.4</v>
      </c>
      <c r="P32" s="1">
        <v>194.2</v>
      </c>
    </row>
    <row r="33" spans="1:14" x14ac:dyDescent="0.35">
      <c r="A33" s="28">
        <v>44621</v>
      </c>
      <c r="B33" s="1">
        <v>167.98333333333335</v>
      </c>
    </row>
    <row r="34" spans="1:14" x14ac:dyDescent="0.35">
      <c r="A34" s="28">
        <v>44652</v>
      </c>
      <c r="B34" s="1">
        <v>170.29166666666669</v>
      </c>
    </row>
    <row r="35" spans="1:14" ht="18.5" x14ac:dyDescent="0.45">
      <c r="A35" s="28">
        <v>44682</v>
      </c>
      <c r="B35" s="1">
        <v>172.13333333333335</v>
      </c>
      <c r="E35" s="92" t="s">
        <v>136</v>
      </c>
      <c r="F35" s="92"/>
      <c r="G35" s="92"/>
    </row>
    <row r="36" spans="1:14" x14ac:dyDescent="0.35">
      <c r="A36" s="28">
        <v>44713</v>
      </c>
      <c r="B36" s="1">
        <v>173.91666666666666</v>
      </c>
    </row>
    <row r="37" spans="1:14" x14ac:dyDescent="0.35">
      <c r="A37" s="28">
        <v>44743</v>
      </c>
      <c r="B37" s="1">
        <v>174.27500000000001</v>
      </c>
    </row>
    <row r="38" spans="1:14" ht="16" x14ac:dyDescent="0.4">
      <c r="A38" s="28">
        <v>44774</v>
      </c>
      <c r="B38" s="1">
        <v>174.40833333333333</v>
      </c>
      <c r="D38" s="8" t="s">
        <v>126</v>
      </c>
      <c r="E38" s="8" t="s">
        <v>127</v>
      </c>
      <c r="F38" s="8" t="s">
        <v>128</v>
      </c>
      <c r="G38" s="8" t="s">
        <v>129</v>
      </c>
      <c r="H38" s="8" t="s">
        <v>130</v>
      </c>
      <c r="I38" s="8" t="s">
        <v>76</v>
      </c>
      <c r="K38" s="110" t="s">
        <v>131</v>
      </c>
      <c r="L38" s="110"/>
      <c r="M38" s="110" t="s">
        <v>138</v>
      </c>
      <c r="N38" s="110"/>
    </row>
    <row r="39" spans="1:14" x14ac:dyDescent="0.35">
      <c r="A39" s="28">
        <v>44805</v>
      </c>
      <c r="B39" s="1">
        <v>175.25833333333333</v>
      </c>
      <c r="D39" s="9" t="s">
        <v>3</v>
      </c>
      <c r="E39" s="33" cm="1">
        <f t="array" ref="E39:E50">TRANSPOSE(E31:P31)</f>
        <v>155</v>
      </c>
      <c r="F39" s="33" cm="1">
        <f t="array" ref="F39:F50">TRANSPOSE(E32:P32)</f>
        <v>173.7</v>
      </c>
      <c r="G39" s="33">
        <f>F39-E39</f>
        <v>18.699999999999989</v>
      </c>
      <c r="H39" s="34">
        <f>(F39-E39)/E39</f>
        <v>0.1206451612903225</v>
      </c>
      <c r="I39" s="9">
        <f t="shared" ref="I39:I50" si="2">_xlfn.RANK.EQ(G39,$G$39:$G$50,0)</f>
        <v>2</v>
      </c>
      <c r="K39" s="120" t="str">
        <f>INDEX(D39:D50,MATCH(MAX(G39:G50),G39:G50,0))</f>
        <v>Spices</v>
      </c>
      <c r="L39" s="121"/>
      <c r="M39" s="111" t="str">
        <f>INDEX(D39:D50,MATCH(MIN(G39:G50),G39:G50,0))</f>
        <v>Oils and fats</v>
      </c>
      <c r="N39" s="111"/>
    </row>
    <row r="40" spans="1:14" x14ac:dyDescent="0.35">
      <c r="A40" s="28">
        <v>44835</v>
      </c>
      <c r="B40" s="1">
        <v>176.47500000000002</v>
      </c>
      <c r="D40" s="9" t="s">
        <v>4</v>
      </c>
      <c r="E40" s="33">
        <v>219.4</v>
      </c>
      <c r="F40" s="33">
        <v>214.3</v>
      </c>
      <c r="G40" s="33">
        <f t="shared" ref="G40:G50" si="3">F40-E40</f>
        <v>-5.0999999999999943</v>
      </c>
      <c r="H40" s="34">
        <f t="shared" ref="H40:H50" si="4">(F40-E40)/E40</f>
        <v>-2.3245214220601614E-2</v>
      </c>
      <c r="I40" s="9">
        <f t="shared" si="2"/>
        <v>10</v>
      </c>
      <c r="K40" s="122"/>
      <c r="L40" s="123"/>
      <c r="M40" s="111"/>
      <c r="N40" s="111"/>
    </row>
    <row r="41" spans="1:14" x14ac:dyDescent="0.35">
      <c r="A41" s="28">
        <v>44866</v>
      </c>
      <c r="B41" s="1">
        <v>176.54166666666666</v>
      </c>
      <c r="D41" s="9" t="s">
        <v>5</v>
      </c>
      <c r="E41" s="33">
        <v>170.8</v>
      </c>
      <c r="F41" s="33">
        <v>173.2</v>
      </c>
      <c r="G41" s="33">
        <f t="shared" si="3"/>
        <v>2.3999999999999773</v>
      </c>
      <c r="H41" s="34">
        <f t="shared" si="4"/>
        <v>1.4051522248243426E-2</v>
      </c>
      <c r="I41" s="9">
        <f t="shared" si="2"/>
        <v>9</v>
      </c>
    </row>
    <row r="42" spans="1:14" x14ac:dyDescent="0.35">
      <c r="A42" s="28">
        <v>44896</v>
      </c>
      <c r="B42" s="1">
        <v>175.625</v>
      </c>
      <c r="D42" s="31" t="s">
        <v>6</v>
      </c>
      <c r="E42" s="32">
        <v>165.8</v>
      </c>
      <c r="F42" s="32">
        <v>179.5</v>
      </c>
      <c r="G42" s="33">
        <f t="shared" si="3"/>
        <v>13.699999999999989</v>
      </c>
      <c r="H42" s="34">
        <f t="shared" si="4"/>
        <v>8.2629674306393175E-2</v>
      </c>
      <c r="I42" s="9">
        <f t="shared" si="2"/>
        <v>3</v>
      </c>
    </row>
    <row r="43" spans="1:14" x14ac:dyDescent="0.35">
      <c r="A43" s="28">
        <v>44927</v>
      </c>
      <c r="B43" s="1">
        <v>176.33333333333334</v>
      </c>
      <c r="D43" s="31" t="s">
        <v>7</v>
      </c>
      <c r="E43" s="32">
        <v>200.9</v>
      </c>
      <c r="F43" s="32">
        <v>170</v>
      </c>
      <c r="G43" s="33">
        <f t="shared" si="3"/>
        <v>-30.900000000000006</v>
      </c>
      <c r="H43" s="34">
        <f t="shared" si="4"/>
        <v>-0.15380786460925835</v>
      </c>
      <c r="I43" s="9">
        <f t="shared" si="2"/>
        <v>12</v>
      </c>
      <c r="L43" s="6"/>
    </row>
    <row r="44" spans="1:14" x14ac:dyDescent="0.35">
      <c r="A44" s="28">
        <v>44958</v>
      </c>
      <c r="B44" s="1">
        <v>175.17499999999998</v>
      </c>
      <c r="D44" s="31" t="s">
        <v>8</v>
      </c>
      <c r="E44" s="32">
        <v>169.7</v>
      </c>
      <c r="F44" s="32">
        <v>172.2</v>
      </c>
      <c r="G44" s="33">
        <f t="shared" si="3"/>
        <v>2.5</v>
      </c>
      <c r="H44" s="34">
        <f t="shared" si="4"/>
        <v>1.4731879787860933E-2</v>
      </c>
      <c r="I44" s="9">
        <f t="shared" si="2"/>
        <v>8</v>
      </c>
    </row>
    <row r="45" spans="1:14" x14ac:dyDescent="0.35">
      <c r="A45" s="28">
        <v>44986</v>
      </c>
      <c r="B45" s="1">
        <v>175.18333333333331</v>
      </c>
      <c r="D45" s="31" t="s">
        <v>9</v>
      </c>
      <c r="E45" s="32">
        <v>182.3</v>
      </c>
      <c r="F45" s="32">
        <v>161</v>
      </c>
      <c r="G45" s="33">
        <f t="shared" si="3"/>
        <v>-21.300000000000011</v>
      </c>
      <c r="H45" s="34">
        <f t="shared" si="4"/>
        <v>-0.11684037301151953</v>
      </c>
      <c r="I45" s="9">
        <f t="shared" si="2"/>
        <v>11</v>
      </c>
      <c r="K45" s="109" t="s">
        <v>132</v>
      </c>
      <c r="L45" s="109"/>
      <c r="M45" s="109" t="s">
        <v>137</v>
      </c>
      <c r="N45" s="109"/>
    </row>
    <row r="46" spans="1:14" x14ac:dyDescent="0.35">
      <c r="A46" s="28">
        <v>45017</v>
      </c>
      <c r="B46" s="1">
        <v>175.97500000000002</v>
      </c>
      <c r="D46" s="31" t="s">
        <v>10</v>
      </c>
      <c r="E46" s="32">
        <v>164.3</v>
      </c>
      <c r="F46" s="32">
        <v>175.6</v>
      </c>
      <c r="G46" s="33">
        <f t="shared" si="3"/>
        <v>11.299999999999983</v>
      </c>
      <c r="H46" s="34">
        <f t="shared" si="4"/>
        <v>6.8776628119293873E-2</v>
      </c>
      <c r="I46" s="9">
        <f t="shared" si="2"/>
        <v>4</v>
      </c>
      <c r="K46" s="107">
        <f>MAX(G39:G50)</f>
        <v>30.900000000000006</v>
      </c>
      <c r="L46" s="107"/>
      <c r="M46" s="107">
        <v>-30.900000000000006</v>
      </c>
      <c r="N46" s="107"/>
    </row>
    <row r="47" spans="1:14" x14ac:dyDescent="0.35">
      <c r="A47" s="28">
        <v>45047</v>
      </c>
      <c r="B47" s="1">
        <v>177.31666666666669</v>
      </c>
      <c r="D47" s="31" t="s">
        <v>11</v>
      </c>
      <c r="E47" s="33">
        <v>119.9</v>
      </c>
      <c r="F47" s="33">
        <v>122.7</v>
      </c>
      <c r="G47" s="33">
        <f t="shared" si="3"/>
        <v>2.7999999999999972</v>
      </c>
      <c r="H47" s="34">
        <f t="shared" si="4"/>
        <v>2.3352793994995805E-2</v>
      </c>
      <c r="I47" s="9">
        <f t="shared" si="2"/>
        <v>7</v>
      </c>
    </row>
    <row r="48" spans="1:14" x14ac:dyDescent="0.35">
      <c r="D48" s="31" t="s">
        <v>12</v>
      </c>
      <c r="E48" s="32">
        <v>187.1</v>
      </c>
      <c r="F48" s="32">
        <v>218</v>
      </c>
      <c r="G48" s="33">
        <f t="shared" si="3"/>
        <v>30.900000000000006</v>
      </c>
      <c r="H48" s="34">
        <f t="shared" si="4"/>
        <v>0.16515232495991453</v>
      </c>
      <c r="I48" s="9">
        <f t="shared" si="2"/>
        <v>1</v>
      </c>
    </row>
    <row r="49" spans="4:15" x14ac:dyDescent="0.35">
      <c r="D49" s="62" t="s">
        <v>13</v>
      </c>
      <c r="E49" s="32">
        <v>167.9</v>
      </c>
      <c r="F49" s="32">
        <v>173.4</v>
      </c>
      <c r="G49" s="33">
        <f t="shared" si="3"/>
        <v>5.5</v>
      </c>
      <c r="H49" s="34">
        <f t="shared" si="4"/>
        <v>3.2757593805836809E-2</v>
      </c>
      <c r="I49" s="9">
        <f t="shared" si="2"/>
        <v>6</v>
      </c>
      <c r="K49" s="93" t="s">
        <v>139</v>
      </c>
      <c r="L49" s="93"/>
      <c r="M49" s="93"/>
      <c r="N49" s="93"/>
    </row>
    <row r="50" spans="4:15" ht="29" x14ac:dyDescent="0.35">
      <c r="D50" s="31" t="s">
        <v>14</v>
      </c>
      <c r="E50" s="32">
        <v>183.9</v>
      </c>
      <c r="F50" s="32">
        <v>194.2</v>
      </c>
      <c r="G50" s="33">
        <f t="shared" si="3"/>
        <v>10.299999999999983</v>
      </c>
      <c r="H50" s="34">
        <f t="shared" si="4"/>
        <v>5.6008700380641561E-2</v>
      </c>
      <c r="I50" s="9">
        <f t="shared" si="2"/>
        <v>5</v>
      </c>
      <c r="K50" s="93"/>
      <c r="L50" s="93"/>
      <c r="M50" s="93"/>
      <c r="N50" s="93"/>
    </row>
    <row r="51" spans="4:15" x14ac:dyDescent="0.35">
      <c r="K51" s="93"/>
      <c r="L51" s="93"/>
      <c r="M51" s="93"/>
      <c r="N51" s="93"/>
    </row>
    <row r="54" spans="4:15" x14ac:dyDescent="0.35">
      <c r="N54" s="8" t="s">
        <v>126</v>
      </c>
      <c r="O54" s="8" t="s">
        <v>129</v>
      </c>
    </row>
    <row r="55" spans="4:15" x14ac:dyDescent="0.35">
      <c r="N55" s="31" t="s">
        <v>12</v>
      </c>
      <c r="O55" s="9">
        <v>31</v>
      </c>
    </row>
    <row r="56" spans="4:15" x14ac:dyDescent="0.35">
      <c r="N56" s="9" t="s">
        <v>3</v>
      </c>
      <c r="O56" s="33">
        <v>19</v>
      </c>
    </row>
    <row r="57" spans="4:15" x14ac:dyDescent="0.35">
      <c r="N57" s="31" t="s">
        <v>6</v>
      </c>
      <c r="O57" s="9">
        <v>14</v>
      </c>
    </row>
    <row r="58" spans="4:15" x14ac:dyDescent="0.35">
      <c r="N58" s="31" t="s">
        <v>10</v>
      </c>
      <c r="O58" s="9">
        <v>11</v>
      </c>
    </row>
    <row r="59" spans="4:15" ht="29" x14ac:dyDescent="0.35">
      <c r="N59" s="31" t="s">
        <v>14</v>
      </c>
      <c r="O59" s="9">
        <v>10</v>
      </c>
    </row>
    <row r="60" spans="4:15" x14ac:dyDescent="0.35">
      <c r="N60" s="31" t="s">
        <v>13</v>
      </c>
      <c r="O60" s="9">
        <v>6</v>
      </c>
    </row>
    <row r="61" spans="4:15" x14ac:dyDescent="0.35">
      <c r="N61" s="31" t="s">
        <v>8</v>
      </c>
      <c r="O61" s="9">
        <v>3</v>
      </c>
    </row>
    <row r="62" spans="4:15" x14ac:dyDescent="0.35">
      <c r="N62" s="31" t="s">
        <v>11</v>
      </c>
      <c r="O62" s="9">
        <v>3</v>
      </c>
    </row>
    <row r="63" spans="4:15" x14ac:dyDescent="0.35">
      <c r="N63" s="9" t="s">
        <v>5</v>
      </c>
      <c r="O63" s="9">
        <v>2</v>
      </c>
    </row>
    <row r="64" spans="4:15" x14ac:dyDescent="0.35">
      <c r="N64" s="9" t="s">
        <v>4</v>
      </c>
      <c r="O64" s="9">
        <v>-5</v>
      </c>
    </row>
    <row r="65" spans="7:15" x14ac:dyDescent="0.35">
      <c r="N65" s="31" t="s">
        <v>9</v>
      </c>
      <c r="O65" s="9">
        <v>-21</v>
      </c>
    </row>
    <row r="66" spans="7:15" x14ac:dyDescent="0.35">
      <c r="N66" s="31" t="s">
        <v>7</v>
      </c>
      <c r="O66" s="9">
        <v>-31</v>
      </c>
    </row>
    <row r="67" spans="7:15" x14ac:dyDescent="0.35">
      <c r="M67" s="6"/>
    </row>
    <row r="74" spans="7:15" x14ac:dyDescent="0.35">
      <c r="G74" s="35"/>
      <c r="H74" s="134" t="s">
        <v>140</v>
      </c>
      <c r="I74" s="134"/>
      <c r="J74" s="134"/>
      <c r="K74" s="134"/>
      <c r="L74" s="36"/>
    </row>
    <row r="75" spans="7:15" ht="14.5" customHeight="1" x14ac:dyDescent="0.35">
      <c r="G75" s="35"/>
      <c r="H75" s="134"/>
      <c r="I75" s="134"/>
      <c r="J75" s="134"/>
      <c r="K75" s="134"/>
      <c r="L75" s="35"/>
    </row>
    <row r="76" spans="7:15" x14ac:dyDescent="0.35">
      <c r="G76" s="35"/>
      <c r="H76" s="35"/>
      <c r="I76" s="35"/>
      <c r="J76" s="35"/>
      <c r="K76" s="35"/>
      <c r="L76" s="35"/>
    </row>
    <row r="77" spans="7:15" ht="18.5" x14ac:dyDescent="0.45">
      <c r="G77" s="35"/>
      <c r="H77" s="130" t="s">
        <v>141</v>
      </c>
      <c r="I77" s="130"/>
      <c r="J77" s="129" t="s">
        <v>142</v>
      </c>
      <c r="K77" s="129"/>
      <c r="L77" s="35"/>
    </row>
    <row r="78" spans="7:15" ht="16" x14ac:dyDescent="0.4">
      <c r="G78" s="35"/>
      <c r="H78" s="131">
        <v>1.04E-2</v>
      </c>
      <c r="I78" s="131"/>
      <c r="J78" s="131">
        <v>6.3200000000000006E-2</v>
      </c>
      <c r="K78" s="131"/>
      <c r="L78" s="35"/>
    </row>
    <row r="79" spans="7:15" ht="16" x14ac:dyDescent="0.4">
      <c r="G79" s="35"/>
      <c r="H79" s="128">
        <v>44713</v>
      </c>
      <c r="I79" s="128"/>
      <c r="J79" s="128">
        <v>44805</v>
      </c>
      <c r="K79" s="128"/>
      <c r="L79" s="35"/>
    </row>
    <row r="80" spans="7:15" x14ac:dyDescent="0.35">
      <c r="G80" s="35"/>
      <c r="H80" s="35"/>
      <c r="I80" s="35"/>
      <c r="J80" s="35"/>
      <c r="K80" s="35"/>
      <c r="L80" s="35"/>
    </row>
    <row r="81" spans="2:16" ht="21" x14ac:dyDescent="0.45">
      <c r="G81" s="35"/>
      <c r="H81" s="129" t="s">
        <v>143</v>
      </c>
      <c r="I81" s="129"/>
      <c r="J81" s="129" t="s">
        <v>144</v>
      </c>
      <c r="K81" s="129"/>
      <c r="L81" s="37" t="s">
        <v>145</v>
      </c>
      <c r="O81" s="39" t="s">
        <v>156</v>
      </c>
    </row>
    <row r="82" spans="2:16" ht="21" x14ac:dyDescent="0.4">
      <c r="D82" s="39" t="s">
        <v>152</v>
      </c>
      <c r="G82" s="35"/>
      <c r="H82" s="131">
        <v>-6.6E-3</v>
      </c>
      <c r="I82" s="131"/>
      <c r="J82" s="131">
        <v>3.0099999999999998E-2</v>
      </c>
      <c r="K82" s="131"/>
      <c r="L82" s="38" t="s">
        <v>146</v>
      </c>
    </row>
    <row r="83" spans="2:16" ht="16" x14ac:dyDescent="0.4">
      <c r="G83" s="35"/>
      <c r="H83" s="128">
        <v>44958</v>
      </c>
      <c r="I83" s="128"/>
      <c r="J83" s="128">
        <v>45047</v>
      </c>
      <c r="K83" s="128"/>
      <c r="L83" s="35"/>
    </row>
    <row r="84" spans="2:16" x14ac:dyDescent="0.35">
      <c r="G84" s="35"/>
      <c r="H84" s="35"/>
      <c r="I84" s="35"/>
      <c r="J84" s="35"/>
      <c r="K84" s="35"/>
      <c r="L84" s="35"/>
      <c r="N84" s="133" t="s">
        <v>153</v>
      </c>
      <c r="O84" s="133"/>
      <c r="P84" s="133"/>
    </row>
    <row r="85" spans="2:16" x14ac:dyDescent="0.35">
      <c r="B85" s="133" t="s">
        <v>147</v>
      </c>
      <c r="C85" s="133"/>
      <c r="D85" s="133"/>
      <c r="E85" s="133"/>
      <c r="G85" s="35"/>
      <c r="H85" s="35"/>
      <c r="I85" s="35"/>
      <c r="J85" s="35"/>
      <c r="K85" s="35"/>
      <c r="L85" s="35"/>
      <c r="N85" s="133"/>
      <c r="O85" s="133"/>
      <c r="P85" s="133"/>
    </row>
    <row r="86" spans="2:16" x14ac:dyDescent="0.35">
      <c r="B86" s="133"/>
      <c r="C86" s="133"/>
      <c r="D86" s="133"/>
      <c r="E86" s="133"/>
      <c r="G86" s="35"/>
      <c r="H86" s="35"/>
      <c r="I86" s="35"/>
      <c r="J86" s="35"/>
      <c r="K86" s="35"/>
      <c r="L86" s="35"/>
      <c r="N86" s="133"/>
      <c r="O86" s="133"/>
      <c r="P86" s="133"/>
    </row>
    <row r="87" spans="2:16" x14ac:dyDescent="0.35">
      <c r="B87" s="133"/>
      <c r="C87" s="133"/>
      <c r="D87" s="133"/>
      <c r="E87" s="133"/>
      <c r="G87" s="35"/>
      <c r="H87" s="35"/>
      <c r="I87" s="35"/>
      <c r="J87" s="35"/>
      <c r="K87" s="35"/>
      <c r="L87" s="35"/>
      <c r="N87" s="133"/>
      <c r="O87" s="133"/>
      <c r="P87" s="133"/>
    </row>
    <row r="88" spans="2:16" x14ac:dyDescent="0.35">
      <c r="B88" s="133"/>
      <c r="C88" s="133"/>
      <c r="D88" s="133"/>
      <c r="E88" s="133"/>
      <c r="G88" s="35"/>
      <c r="H88" s="35"/>
      <c r="I88" s="35"/>
      <c r="J88" s="35"/>
      <c r="K88" s="35"/>
      <c r="L88" s="35"/>
      <c r="N88" s="133"/>
      <c r="O88" s="133"/>
      <c r="P88" s="133"/>
    </row>
    <row r="89" spans="2:16" x14ac:dyDescent="0.35">
      <c r="B89" s="133"/>
      <c r="C89" s="133"/>
      <c r="D89" s="133"/>
      <c r="E89" s="133"/>
      <c r="G89" s="35"/>
      <c r="H89" s="35"/>
      <c r="I89" s="35"/>
      <c r="J89" s="35"/>
      <c r="K89" s="35"/>
      <c r="L89" s="35"/>
      <c r="N89" s="133"/>
      <c r="O89" s="133"/>
      <c r="P89" s="133"/>
    </row>
    <row r="90" spans="2:16" x14ac:dyDescent="0.35">
      <c r="B90" s="133"/>
      <c r="C90" s="133"/>
      <c r="D90" s="133"/>
      <c r="E90" s="133"/>
      <c r="G90" s="35"/>
      <c r="H90" s="35"/>
      <c r="I90" s="35"/>
      <c r="J90" s="35"/>
      <c r="K90" s="35"/>
      <c r="L90" s="35"/>
      <c r="N90" s="133"/>
      <c r="O90" s="133"/>
      <c r="P90" s="133"/>
    </row>
    <row r="91" spans="2:16" ht="16" x14ac:dyDescent="0.4">
      <c r="B91" s="40"/>
      <c r="C91" s="40"/>
      <c r="D91" s="40"/>
      <c r="E91" s="40"/>
      <c r="G91" s="35"/>
      <c r="H91" s="35"/>
      <c r="I91" s="35"/>
      <c r="J91" s="35"/>
      <c r="K91" s="35"/>
      <c r="L91" s="35"/>
    </row>
    <row r="92" spans="2:16" x14ac:dyDescent="0.35">
      <c r="B92" s="133" t="s">
        <v>148</v>
      </c>
      <c r="C92" s="133"/>
      <c r="D92" s="133"/>
      <c r="E92" s="133"/>
      <c r="G92" s="35"/>
      <c r="H92" s="35"/>
      <c r="I92" s="35"/>
      <c r="J92" s="35"/>
      <c r="K92" s="35"/>
      <c r="L92" s="35"/>
    </row>
    <row r="93" spans="2:16" x14ac:dyDescent="0.35">
      <c r="B93" s="133"/>
      <c r="C93" s="133"/>
      <c r="D93" s="133"/>
      <c r="E93" s="133"/>
      <c r="G93" s="35"/>
      <c r="H93" s="35"/>
      <c r="I93" s="35"/>
      <c r="J93" s="35"/>
      <c r="K93" s="35"/>
      <c r="L93" s="35"/>
      <c r="N93" s="133" t="s">
        <v>154</v>
      </c>
      <c r="O93" s="133"/>
      <c r="P93" s="133"/>
    </row>
    <row r="94" spans="2:16" x14ac:dyDescent="0.35">
      <c r="B94" s="133"/>
      <c r="C94" s="133"/>
      <c r="D94" s="133"/>
      <c r="E94" s="133"/>
      <c r="G94" s="35"/>
      <c r="H94" s="35"/>
      <c r="I94" s="35"/>
      <c r="J94" s="35"/>
      <c r="K94" s="35"/>
      <c r="L94" s="35"/>
      <c r="N94" s="133"/>
      <c r="O94" s="133"/>
      <c r="P94" s="133"/>
    </row>
    <row r="95" spans="2:16" x14ac:dyDescent="0.35">
      <c r="B95" s="133"/>
      <c r="C95" s="133"/>
      <c r="D95" s="133"/>
      <c r="E95" s="133"/>
      <c r="G95" s="35"/>
      <c r="H95" s="35"/>
      <c r="I95" s="35"/>
      <c r="J95" s="35"/>
      <c r="K95" s="35"/>
      <c r="L95" s="35"/>
      <c r="N95" s="133"/>
      <c r="O95" s="133"/>
      <c r="P95" s="133"/>
    </row>
    <row r="96" spans="2:16" x14ac:dyDescent="0.35">
      <c r="B96" s="133"/>
      <c r="C96" s="133"/>
      <c r="D96" s="133"/>
      <c r="E96" s="133"/>
      <c r="G96" s="35"/>
      <c r="H96" s="35"/>
      <c r="I96" s="35"/>
      <c r="J96" s="35"/>
      <c r="K96" s="35"/>
      <c r="L96" s="35"/>
      <c r="N96" s="133"/>
      <c r="O96" s="133"/>
      <c r="P96" s="133"/>
    </row>
    <row r="97" spans="2:16" ht="16" x14ac:dyDescent="0.4">
      <c r="B97" s="40"/>
      <c r="C97" s="40"/>
      <c r="D97" s="40"/>
      <c r="E97" s="40"/>
      <c r="G97" s="35"/>
      <c r="H97" s="35"/>
      <c r="I97" s="35"/>
      <c r="J97" s="35"/>
      <c r="K97" s="35"/>
      <c r="L97" s="35"/>
      <c r="N97" s="133"/>
      <c r="O97" s="133"/>
      <c r="P97" s="133"/>
    </row>
    <row r="98" spans="2:16" x14ac:dyDescent="0.35">
      <c r="B98" s="133" t="s">
        <v>149</v>
      </c>
      <c r="C98" s="133"/>
      <c r="D98" s="133"/>
      <c r="E98" s="133"/>
      <c r="G98" s="35"/>
      <c r="H98" s="35"/>
      <c r="I98" s="35"/>
      <c r="J98" s="35"/>
      <c r="K98" s="35"/>
      <c r="L98" s="35"/>
      <c r="N98" s="133"/>
      <c r="O98" s="133"/>
      <c r="P98" s="133"/>
    </row>
    <row r="99" spans="2:16" x14ac:dyDescent="0.35">
      <c r="B99" s="133"/>
      <c r="C99" s="133"/>
      <c r="D99" s="133"/>
      <c r="E99" s="133"/>
      <c r="G99" s="35"/>
      <c r="H99" s="35"/>
      <c r="I99" s="35"/>
      <c r="J99" s="35"/>
      <c r="K99" s="35"/>
      <c r="L99" s="35"/>
    </row>
    <row r="100" spans="2:16" x14ac:dyDescent="0.35">
      <c r="B100" s="133"/>
      <c r="C100" s="133"/>
      <c r="D100" s="133"/>
      <c r="E100" s="133"/>
      <c r="G100" s="35"/>
      <c r="H100" s="35"/>
      <c r="I100" s="35"/>
      <c r="J100" s="35"/>
      <c r="K100" s="35"/>
      <c r="L100" s="35"/>
      <c r="N100" s="133" t="s">
        <v>155</v>
      </c>
      <c r="O100" s="133"/>
      <c r="P100" s="133"/>
    </row>
    <row r="101" spans="2:16" x14ac:dyDescent="0.35">
      <c r="B101" s="133"/>
      <c r="C101" s="133"/>
      <c r="D101" s="133"/>
      <c r="E101" s="133"/>
      <c r="G101" s="35"/>
      <c r="H101" s="35"/>
      <c r="I101" s="35"/>
      <c r="J101" s="35"/>
      <c r="K101" s="35"/>
      <c r="L101" s="35"/>
      <c r="N101" s="133"/>
      <c r="O101" s="133"/>
      <c r="P101" s="133"/>
    </row>
    <row r="102" spans="2:16" x14ac:dyDescent="0.35">
      <c r="B102" s="133"/>
      <c r="C102" s="133"/>
      <c r="D102" s="133"/>
      <c r="E102" s="133"/>
      <c r="G102" s="35"/>
      <c r="H102" s="35"/>
      <c r="I102" s="35"/>
      <c r="J102" s="35"/>
      <c r="K102" s="35"/>
      <c r="L102" s="35"/>
      <c r="N102" s="133"/>
      <c r="O102" s="133"/>
      <c r="P102" s="133"/>
    </row>
    <row r="103" spans="2:16" ht="16" x14ac:dyDescent="0.4">
      <c r="B103" s="40"/>
      <c r="C103" s="40"/>
      <c r="D103" s="40"/>
      <c r="E103" s="40"/>
      <c r="G103" s="35"/>
      <c r="H103" s="35"/>
      <c r="I103" s="35"/>
      <c r="J103" s="35"/>
      <c r="K103" s="35"/>
      <c r="L103" s="35"/>
      <c r="N103" s="133"/>
      <c r="O103" s="133"/>
      <c r="P103" s="133"/>
    </row>
    <row r="104" spans="2:16" ht="16" x14ac:dyDescent="0.4">
      <c r="B104" s="40"/>
      <c r="C104" s="40"/>
      <c r="D104" s="40"/>
      <c r="E104" s="40"/>
      <c r="G104" s="35"/>
      <c r="H104" s="35"/>
      <c r="I104" s="35"/>
      <c r="J104" s="35"/>
      <c r="K104" s="35"/>
      <c r="L104" s="35"/>
      <c r="N104" s="133"/>
      <c r="O104" s="133"/>
      <c r="P104" s="133"/>
    </row>
    <row r="105" spans="2:16" x14ac:dyDescent="0.35">
      <c r="B105" s="133" t="s">
        <v>150</v>
      </c>
      <c r="C105" s="133"/>
      <c r="D105" s="133"/>
      <c r="E105" s="133"/>
      <c r="G105" s="35"/>
      <c r="H105" s="35"/>
      <c r="I105" s="35"/>
      <c r="J105" s="35"/>
      <c r="K105" s="35"/>
      <c r="L105" s="35"/>
      <c r="N105" s="133"/>
      <c r="O105" s="133"/>
      <c r="P105" s="133"/>
    </row>
    <row r="106" spans="2:16" x14ac:dyDescent="0.35">
      <c r="B106" s="133"/>
      <c r="C106" s="133"/>
      <c r="D106" s="133"/>
      <c r="E106" s="133"/>
      <c r="G106" s="35"/>
      <c r="H106" s="35"/>
      <c r="I106" s="35"/>
      <c r="J106" s="35"/>
      <c r="K106" s="35"/>
      <c r="L106" s="35"/>
    </row>
    <row r="107" spans="2:16" x14ac:dyDescent="0.35">
      <c r="B107" s="133"/>
      <c r="C107" s="133"/>
      <c r="D107" s="133"/>
      <c r="E107" s="133"/>
      <c r="G107" s="35"/>
      <c r="H107" s="35"/>
      <c r="I107" s="35"/>
      <c r="J107" s="35"/>
      <c r="K107" s="35"/>
      <c r="L107" s="35"/>
      <c r="N107" s="93" t="s">
        <v>233</v>
      </c>
      <c r="O107" s="93"/>
      <c r="P107" s="93"/>
    </row>
    <row r="108" spans="2:16" x14ac:dyDescent="0.35">
      <c r="B108" s="133"/>
      <c r="C108" s="133"/>
      <c r="D108" s="133"/>
      <c r="E108" s="133"/>
      <c r="G108" s="35"/>
      <c r="H108" s="35"/>
      <c r="I108" s="35"/>
      <c r="J108" s="35"/>
      <c r="K108" s="35"/>
      <c r="L108" s="35"/>
      <c r="N108" s="93"/>
      <c r="O108" s="93"/>
      <c r="P108" s="93"/>
    </row>
    <row r="109" spans="2:16" x14ac:dyDescent="0.35">
      <c r="B109" s="133"/>
      <c r="C109" s="133"/>
      <c r="D109" s="133"/>
      <c r="E109" s="133"/>
      <c r="G109" s="35"/>
      <c r="H109" s="35"/>
      <c r="I109" s="35"/>
      <c r="J109" s="35"/>
      <c r="K109" s="35"/>
      <c r="L109" s="35"/>
      <c r="N109" s="93"/>
      <c r="O109" s="93"/>
      <c r="P109" s="93"/>
    </row>
    <row r="110" spans="2:16" ht="16" x14ac:dyDescent="0.4">
      <c r="B110" s="40"/>
      <c r="C110" s="40"/>
      <c r="D110" s="40"/>
      <c r="E110" s="40"/>
      <c r="G110" s="35"/>
      <c r="H110" s="35"/>
      <c r="I110" s="35"/>
      <c r="J110" s="35"/>
      <c r="K110" s="35"/>
      <c r="L110" s="35"/>
      <c r="N110" s="93"/>
      <c r="O110" s="93"/>
      <c r="P110" s="93"/>
    </row>
    <row r="111" spans="2:16" ht="16" x14ac:dyDescent="0.4">
      <c r="B111" s="40"/>
      <c r="C111" s="40"/>
      <c r="D111" s="40"/>
      <c r="E111" s="40"/>
      <c r="G111" s="35"/>
      <c r="H111" s="35"/>
      <c r="I111" s="35"/>
      <c r="J111" s="35"/>
      <c r="K111" s="35"/>
      <c r="L111" s="35"/>
      <c r="N111" s="93"/>
      <c r="O111" s="93"/>
      <c r="P111" s="93"/>
    </row>
    <row r="112" spans="2:16" x14ac:dyDescent="0.35">
      <c r="B112" s="133" t="s">
        <v>151</v>
      </c>
      <c r="C112" s="133"/>
      <c r="D112" s="133"/>
      <c r="E112" s="133"/>
      <c r="G112" s="35"/>
      <c r="H112" s="35"/>
      <c r="I112" s="35"/>
      <c r="J112" s="35"/>
      <c r="K112" s="35"/>
      <c r="L112" s="35"/>
      <c r="N112" s="93"/>
      <c r="O112" s="93"/>
      <c r="P112" s="93"/>
    </row>
    <row r="113" spans="2:12" x14ac:dyDescent="0.35">
      <c r="B113" s="133"/>
      <c r="C113" s="133"/>
      <c r="D113" s="133"/>
      <c r="E113" s="133"/>
      <c r="G113" s="35"/>
      <c r="H113" s="35"/>
      <c r="I113" s="35"/>
      <c r="J113" s="35"/>
      <c r="K113" s="35"/>
      <c r="L113" s="35"/>
    </row>
    <row r="114" spans="2:12" x14ac:dyDescent="0.35">
      <c r="B114" s="133"/>
      <c r="C114" s="133"/>
      <c r="D114" s="133"/>
      <c r="E114" s="133"/>
      <c r="G114" s="35"/>
      <c r="H114" s="35"/>
      <c r="I114" s="35"/>
      <c r="J114" s="35"/>
      <c r="K114" s="35"/>
      <c r="L114" s="35"/>
    </row>
    <row r="115" spans="2:12" x14ac:dyDescent="0.35">
      <c r="B115" s="133"/>
      <c r="C115" s="133"/>
      <c r="D115" s="133"/>
      <c r="E115" s="133"/>
      <c r="G115" s="35"/>
      <c r="H115" s="35"/>
      <c r="I115" s="35"/>
      <c r="J115" s="35"/>
      <c r="K115" s="35"/>
      <c r="L115" s="35"/>
    </row>
    <row r="116" spans="2:12" x14ac:dyDescent="0.35">
      <c r="B116" s="133"/>
      <c r="C116" s="133"/>
      <c r="D116" s="133"/>
      <c r="E116" s="133"/>
      <c r="G116" s="35"/>
      <c r="H116" s="35"/>
      <c r="I116" s="35"/>
      <c r="J116" s="35"/>
      <c r="K116" s="35"/>
      <c r="L116" s="35"/>
    </row>
    <row r="117" spans="2:12" x14ac:dyDescent="0.35">
      <c r="G117" s="35"/>
      <c r="H117" s="35"/>
      <c r="I117" s="35"/>
      <c r="J117" s="35"/>
      <c r="K117" s="35"/>
      <c r="L117" s="35"/>
    </row>
    <row r="118" spans="2:12" x14ac:dyDescent="0.35">
      <c r="G118" s="35"/>
      <c r="H118" s="35"/>
      <c r="I118" s="35"/>
      <c r="J118" s="35"/>
      <c r="K118" s="35"/>
      <c r="L118" s="35"/>
    </row>
    <row r="119" spans="2:12" x14ac:dyDescent="0.35">
      <c r="G119" s="35"/>
      <c r="H119" s="35"/>
      <c r="I119" s="35"/>
      <c r="J119" s="35"/>
      <c r="K119" s="35"/>
      <c r="L119" s="35"/>
    </row>
    <row r="120" spans="2:12" x14ac:dyDescent="0.35">
      <c r="G120" s="35"/>
      <c r="H120" s="35"/>
      <c r="I120" s="35"/>
      <c r="J120" s="35"/>
      <c r="K120" s="35"/>
      <c r="L120" s="35"/>
    </row>
    <row r="121" spans="2:12" x14ac:dyDescent="0.35">
      <c r="G121" s="35"/>
      <c r="H121" s="35"/>
      <c r="I121" s="35"/>
      <c r="J121" s="35"/>
      <c r="K121" s="35"/>
      <c r="L121" s="35"/>
    </row>
  </sheetData>
  <mergeCells count="48">
    <mergeCell ref="H1:O1"/>
    <mergeCell ref="A18:B18"/>
    <mergeCell ref="B98:E102"/>
    <mergeCell ref="B105:E109"/>
    <mergeCell ref="B112:E116"/>
    <mergeCell ref="N84:P90"/>
    <mergeCell ref="N93:P98"/>
    <mergeCell ref="N100:P105"/>
    <mergeCell ref="H74:K75"/>
    <mergeCell ref="B85:E90"/>
    <mergeCell ref="B92:E96"/>
    <mergeCell ref="H81:I81"/>
    <mergeCell ref="J81:K81"/>
    <mergeCell ref="H82:I82"/>
    <mergeCell ref="J82:K82"/>
    <mergeCell ref="H83:I83"/>
    <mergeCell ref="J83:K83"/>
    <mergeCell ref="J77:K77"/>
    <mergeCell ref="H77:I77"/>
    <mergeCell ref="H78:I78"/>
    <mergeCell ref="H79:I79"/>
    <mergeCell ref="J78:K78"/>
    <mergeCell ref="J79:K79"/>
    <mergeCell ref="I6:L6"/>
    <mergeCell ref="D24:E24"/>
    <mergeCell ref="D19:G19"/>
    <mergeCell ref="D23:G23"/>
    <mergeCell ref="I5:M5"/>
    <mergeCell ref="I8:M8"/>
    <mergeCell ref="D18:E18"/>
    <mergeCell ref="D20:E20"/>
    <mergeCell ref="D22:E22"/>
    <mergeCell ref="N107:P112"/>
    <mergeCell ref="K49:N51"/>
    <mergeCell ref="K46:L46"/>
    <mergeCell ref="D2:G2"/>
    <mergeCell ref="I18:M20"/>
    <mergeCell ref="I22:M24"/>
    <mergeCell ref="E35:G35"/>
    <mergeCell ref="M45:N45"/>
    <mergeCell ref="M46:N46"/>
    <mergeCell ref="M38:N38"/>
    <mergeCell ref="M39:N40"/>
    <mergeCell ref="I13:N15"/>
    <mergeCell ref="K38:L38"/>
    <mergeCell ref="K39:L40"/>
    <mergeCell ref="K45:L45"/>
    <mergeCell ref="I4:L4"/>
  </mergeCells>
  <conditionalFormatting sqref="G5:G16">
    <cfRule type="colorScale" priority="14">
      <colorScale>
        <cfvo type="min"/>
        <cfvo type="percentile" val="50"/>
        <cfvo type="max"/>
        <color rgb="FFF8696B"/>
        <color rgb="FFFFEB84"/>
        <color rgb="FF63BE7B"/>
      </colorScale>
    </cfRule>
  </conditionalFormatting>
  <conditionalFormatting sqref="F5:F16">
    <cfRule type="colorScale" priority="13">
      <colorScale>
        <cfvo type="min"/>
        <cfvo type="percentile" val="50"/>
        <cfvo type="max"/>
        <color rgb="FFF8696B"/>
        <color rgb="FFFFEB84"/>
        <color rgb="FF63BE7B"/>
      </colorScale>
    </cfRule>
  </conditionalFormatting>
  <conditionalFormatting pivot="1" sqref="E31:P31">
    <cfRule type="colorScale" priority="12">
      <colorScale>
        <cfvo type="min"/>
        <cfvo type="percentile" val="50"/>
        <cfvo type="max"/>
        <color rgb="FFF8696B"/>
        <color rgb="FFFFEB84"/>
        <color rgb="FF63BE7B"/>
      </colorScale>
    </cfRule>
  </conditionalFormatting>
  <conditionalFormatting pivot="1">
    <cfRule type="colorScale" priority="11">
      <colorScale>
        <cfvo type="min"/>
        <cfvo type="percentile" val="50"/>
        <cfvo type="max"/>
        <color rgb="FFF8696B"/>
        <color rgb="FFFFEB84"/>
        <color rgb="FF63BE7B"/>
      </colorScale>
    </cfRule>
  </conditionalFormatting>
  <conditionalFormatting pivot="1">
    <cfRule type="colorScale" priority="10">
      <colorScale>
        <cfvo type="min"/>
        <cfvo type="percentile" val="50"/>
        <cfvo type="max"/>
        <color rgb="FFF8696B"/>
        <color rgb="FFFFEB84"/>
        <color rgb="FF63BE7B"/>
      </colorScale>
    </cfRule>
  </conditionalFormatting>
  <conditionalFormatting pivot="1">
    <cfRule type="colorScale" priority="9">
      <colorScale>
        <cfvo type="min"/>
        <cfvo type="percentile" val="50"/>
        <cfvo type="max"/>
        <color rgb="FFF8696B"/>
        <color rgb="FFFFEB84"/>
        <color rgb="FF63BE7B"/>
      </colorScale>
    </cfRule>
  </conditionalFormatting>
  <conditionalFormatting pivot="1">
    <cfRule type="colorScale" priority="8">
      <colorScale>
        <cfvo type="min"/>
        <cfvo type="percentile" val="50"/>
        <cfvo type="max"/>
        <color rgb="FFF8696B"/>
        <color rgb="FFFFEB84"/>
        <color rgb="FF63BE7B"/>
      </colorScale>
    </cfRule>
  </conditionalFormatting>
  <conditionalFormatting pivot="1">
    <cfRule type="colorScale" priority="7">
      <colorScale>
        <cfvo type="min"/>
        <cfvo type="percentile" val="50"/>
        <cfvo type="max"/>
        <color rgb="FFF8696B"/>
        <color rgb="FFFFEB84"/>
        <color rgb="FF63BE7B"/>
      </colorScale>
    </cfRule>
  </conditionalFormatting>
  <conditionalFormatting pivot="1">
    <cfRule type="colorScale" priority="6">
      <colorScale>
        <cfvo type="min"/>
        <cfvo type="percentile" val="50"/>
        <cfvo type="max"/>
        <color rgb="FFF8696B"/>
        <color rgb="FFFFEB84"/>
        <color rgb="FF63BE7B"/>
      </colorScale>
    </cfRule>
  </conditionalFormatting>
  <conditionalFormatting pivot="1">
    <cfRule type="colorScale" priority="5">
      <colorScale>
        <cfvo type="min"/>
        <cfvo type="percentile" val="50"/>
        <cfvo type="max"/>
        <color rgb="FFF8696B"/>
        <color rgb="FFFFEB84"/>
        <color rgb="FF63BE7B"/>
      </colorScale>
    </cfRule>
  </conditionalFormatting>
  <conditionalFormatting pivot="1">
    <cfRule type="colorScale" priority="4">
      <colorScale>
        <cfvo type="min"/>
        <cfvo type="percentile" val="50"/>
        <cfvo type="max"/>
        <color rgb="FFF8696B"/>
        <color rgb="FFFFEB84"/>
        <color rgb="FF63BE7B"/>
      </colorScale>
    </cfRule>
  </conditionalFormatting>
  <conditionalFormatting pivot="1">
    <cfRule type="colorScale" priority="3">
      <colorScale>
        <cfvo type="min"/>
        <cfvo type="percentile" val="50"/>
        <cfvo type="max"/>
        <color rgb="FFF8696B"/>
        <color rgb="FFFFEB84"/>
        <color rgb="FF63BE7B"/>
      </colorScale>
    </cfRule>
  </conditionalFormatting>
  <conditionalFormatting pivot="1">
    <cfRule type="colorScale" priority="2">
      <colorScale>
        <cfvo type="min"/>
        <cfvo type="percentile" val="50"/>
        <cfvo type="max"/>
        <color rgb="FFF8696B"/>
        <color rgb="FFFFEB84"/>
        <color rgb="FF63BE7B"/>
      </colorScale>
    </cfRule>
  </conditionalFormatting>
  <conditionalFormatting pivot="1" sqref="E32:P32">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4"/>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EE26-5CDA-4A2A-8BC3-DBBC10E08A1F}">
  <dimension ref="A1:AH173"/>
  <sheetViews>
    <sheetView topLeftCell="L131" zoomScale="53" zoomScaleNormal="55" workbookViewId="0">
      <selection activeCell="S171" sqref="S171"/>
    </sheetView>
  </sheetViews>
  <sheetFormatPr defaultRowHeight="14.5" x14ac:dyDescent="0.35"/>
  <cols>
    <col min="1" max="1" width="14.1796875" bestFit="1" customWidth="1"/>
    <col min="2" max="2" width="31.90625" bestFit="1" customWidth="1"/>
    <col min="3" max="3" width="20.90625" bestFit="1" customWidth="1"/>
    <col min="4" max="4" width="22.6328125" bestFit="1" customWidth="1"/>
    <col min="5" max="5" width="49" bestFit="1" customWidth="1"/>
    <col min="6" max="6" width="31" customWidth="1"/>
    <col min="7" max="7" width="45.90625" bestFit="1" customWidth="1"/>
    <col min="8" max="8" width="25.08984375" bestFit="1" customWidth="1"/>
    <col min="9" max="9" width="49.90625" customWidth="1"/>
    <col min="10" max="10" width="29.81640625" bestFit="1" customWidth="1"/>
    <col min="11" max="11" width="36.453125" bestFit="1" customWidth="1"/>
    <col min="12" max="12" width="39.7265625" bestFit="1" customWidth="1"/>
    <col min="13" max="13" width="32" bestFit="1" customWidth="1"/>
    <col min="14" max="14" width="27.54296875" bestFit="1" customWidth="1"/>
    <col min="15" max="15" width="29" customWidth="1"/>
    <col min="16" max="16" width="20.90625" customWidth="1"/>
    <col min="17" max="17" width="13.90625" bestFit="1" customWidth="1"/>
    <col min="18" max="18" width="22.6328125" bestFit="1" customWidth="1"/>
    <col min="19" max="19" width="40.26953125" bestFit="1" customWidth="1"/>
    <col min="20" max="20" width="49" bestFit="1" customWidth="1"/>
    <col min="21" max="21" width="23.54296875" bestFit="1" customWidth="1"/>
    <col min="22" max="22" width="32.26953125" bestFit="1" customWidth="1"/>
    <col min="23" max="24" width="45.90625" bestFit="1" customWidth="1"/>
    <col min="25" max="26" width="23.54296875" customWidth="1"/>
    <col min="27" max="27" width="41.1796875" bestFit="1" customWidth="1"/>
    <col min="28" max="28" width="49.90625" bestFit="1" customWidth="1"/>
    <col min="29" max="29" width="18.453125" bestFit="1" customWidth="1"/>
    <col min="30" max="30" width="27.1796875" bestFit="1" customWidth="1"/>
    <col min="31" max="31" width="17.90625" bestFit="1" customWidth="1"/>
  </cols>
  <sheetData>
    <row r="1" spans="1:31" ht="18.5" x14ac:dyDescent="0.45">
      <c r="A1" s="2" t="s">
        <v>0</v>
      </c>
      <c r="B1" t="s">
        <v>34</v>
      </c>
      <c r="F1" s="58" t="s">
        <v>194</v>
      </c>
      <c r="G1" s="58"/>
      <c r="H1" s="58"/>
      <c r="I1" s="58"/>
      <c r="J1" s="58"/>
      <c r="K1" s="58"/>
      <c r="L1" s="58"/>
      <c r="M1" s="58"/>
    </row>
    <row r="3" spans="1:31" x14ac:dyDescent="0.35">
      <c r="A3" s="2" t="s">
        <v>59</v>
      </c>
      <c r="B3" t="s">
        <v>81</v>
      </c>
      <c r="C3" t="s">
        <v>60</v>
      </c>
      <c r="D3" t="s">
        <v>66</v>
      </c>
      <c r="E3" t="s">
        <v>67</v>
      </c>
      <c r="F3" t="s">
        <v>64</v>
      </c>
      <c r="G3" t="s">
        <v>196</v>
      </c>
      <c r="H3" t="s">
        <v>63</v>
      </c>
      <c r="I3" t="s">
        <v>195</v>
      </c>
      <c r="J3" t="s">
        <v>69</v>
      </c>
    </row>
    <row r="4" spans="1:31" x14ac:dyDescent="0.35">
      <c r="A4" s="28">
        <v>43101</v>
      </c>
      <c r="B4" s="1">
        <v>136.9</v>
      </c>
      <c r="C4" s="1">
        <v>136.72499999999999</v>
      </c>
      <c r="D4" s="1">
        <v>133.30000000000001</v>
      </c>
      <c r="E4" s="1">
        <v>119.3</v>
      </c>
      <c r="F4" s="1">
        <v>136.6</v>
      </c>
      <c r="G4" s="1">
        <v>127.3</v>
      </c>
      <c r="H4" s="1">
        <v>140.4</v>
      </c>
      <c r="I4" s="1">
        <v>154.69999999999999</v>
      </c>
      <c r="J4" s="1">
        <v>139</v>
      </c>
      <c r="L4" s="8" t="s">
        <v>49</v>
      </c>
      <c r="M4" s="8" t="s">
        <v>157</v>
      </c>
      <c r="N4" s="8" t="s">
        <v>158</v>
      </c>
      <c r="O4" s="8" t="s">
        <v>159</v>
      </c>
      <c r="P4" s="8" t="s">
        <v>160</v>
      </c>
      <c r="Q4" s="8" t="s">
        <v>161</v>
      </c>
      <c r="R4" s="8" t="s">
        <v>162</v>
      </c>
      <c r="S4" s="8" t="s">
        <v>165</v>
      </c>
      <c r="T4" s="8" t="s">
        <v>166</v>
      </c>
      <c r="U4" s="8" t="s">
        <v>197</v>
      </c>
      <c r="V4" s="8" t="s">
        <v>198</v>
      </c>
      <c r="W4" s="8" t="s">
        <v>199</v>
      </c>
      <c r="X4" s="8" t="s">
        <v>200</v>
      </c>
      <c r="Y4" s="8" t="s">
        <v>202</v>
      </c>
      <c r="Z4" s="8" t="s">
        <v>201</v>
      </c>
      <c r="AA4" s="8" t="s">
        <v>203</v>
      </c>
      <c r="AB4" s="8" t="s">
        <v>204</v>
      </c>
      <c r="AC4" s="8" t="s">
        <v>205</v>
      </c>
      <c r="AD4" s="8" t="s">
        <v>206</v>
      </c>
      <c r="AE4" s="8" t="s">
        <v>163</v>
      </c>
    </row>
    <row r="5" spans="1:31" x14ac:dyDescent="0.35">
      <c r="A5" s="28">
        <v>43132</v>
      </c>
      <c r="B5" s="1">
        <v>136.4</v>
      </c>
      <c r="C5" s="1">
        <v>135.23333333333332</v>
      </c>
      <c r="D5" s="1">
        <v>133.80000000000001</v>
      </c>
      <c r="E5" s="1">
        <v>120.2</v>
      </c>
      <c r="F5" s="1">
        <v>136.69999999999999</v>
      </c>
      <c r="G5" s="1">
        <v>127.7</v>
      </c>
      <c r="H5" s="1">
        <v>141.30000000000001</v>
      </c>
      <c r="I5" s="1">
        <v>154.9</v>
      </c>
      <c r="J5" s="1">
        <v>139</v>
      </c>
      <c r="L5" s="67">
        <v>43466</v>
      </c>
      <c r="M5" s="47">
        <v>139.6</v>
      </c>
      <c r="N5" s="68">
        <f>(M5/B4)-1</f>
        <v>1.9722425127830512E-2</v>
      </c>
      <c r="O5" s="69">
        <v>134.66666666666666</v>
      </c>
      <c r="P5" s="68">
        <f>(O5/C4)-1</f>
        <v>-1.5054549887243307E-2</v>
      </c>
      <c r="Q5" s="69">
        <v>145.1</v>
      </c>
      <c r="R5" s="68">
        <f>(Q5/D4)-1</f>
        <v>8.8522130532632914E-2</v>
      </c>
      <c r="S5" s="69">
        <v>123.3</v>
      </c>
      <c r="T5" s="68">
        <f>(S5/E4)-1</f>
        <v>3.3528918692372178E-2</v>
      </c>
      <c r="U5" s="72">
        <v>139.5</v>
      </c>
      <c r="V5" s="68">
        <f>(U5/F4)-1</f>
        <v>2.1229868228404225E-2</v>
      </c>
      <c r="W5" s="72">
        <v>132.80000000000001</v>
      </c>
      <c r="X5" s="68">
        <f>(W5/G4)-1</f>
        <v>4.3205027494108483E-2</v>
      </c>
      <c r="Y5" s="72">
        <v>147.69999999999999</v>
      </c>
      <c r="Z5" s="68">
        <f>(Y5/H4)-1</f>
        <v>5.1994301994301884E-2</v>
      </c>
      <c r="AA5" s="72">
        <v>163.19999999999999</v>
      </c>
      <c r="AB5" s="68">
        <f>(AA5/I4)-1</f>
        <v>5.4945054945054972E-2</v>
      </c>
      <c r="AC5" s="72">
        <v>150.19999999999999</v>
      </c>
      <c r="AD5" s="68">
        <f>(AC5/J4)-1</f>
        <v>8.0575539568345178E-2</v>
      </c>
      <c r="AE5" s="47" t="str">
        <f t="shared" ref="AE5:AE36" si="0">IF(L5&lt;DATE(2020,3,1),"Pre-COVID",IF(L5=DATE(2020,3,1),"COVID Onset",IF(L5&lt;=DATE(2020,5,31),"Lockdown","Post-COVID")))</f>
        <v>Pre-COVID</v>
      </c>
    </row>
    <row r="6" spans="1:31" x14ac:dyDescent="0.35">
      <c r="A6" s="28">
        <v>43160</v>
      </c>
      <c r="B6" s="1">
        <v>136.5</v>
      </c>
      <c r="C6" s="1">
        <v>134.9</v>
      </c>
      <c r="D6" s="1">
        <v>134.30000000000001</v>
      </c>
      <c r="E6" s="1">
        <v>121</v>
      </c>
      <c r="F6" s="1">
        <v>136.5</v>
      </c>
      <c r="G6" s="1">
        <v>128.19999999999999</v>
      </c>
      <c r="H6" s="1">
        <v>142</v>
      </c>
      <c r="I6" s="1">
        <v>156.30000000000001</v>
      </c>
      <c r="J6" s="1">
        <v>139.80000000000001</v>
      </c>
      <c r="L6" s="67">
        <v>43497</v>
      </c>
      <c r="M6" s="47">
        <v>139.9</v>
      </c>
      <c r="N6" s="68">
        <f>(M6/B5)-1</f>
        <v>2.5659824046920798E-2</v>
      </c>
      <c r="O6" s="69">
        <v>134.96666666666667</v>
      </c>
      <c r="P6" s="68">
        <f>(O6/C5)-1</f>
        <v>-1.971900419028727E-3</v>
      </c>
      <c r="Q6" s="69">
        <v>145.6</v>
      </c>
      <c r="R6" s="68">
        <f>(Q6/D5)-1</f>
        <v>8.819133034379667E-2</v>
      </c>
      <c r="S6" s="69">
        <v>123.9</v>
      </c>
      <c r="T6" s="68">
        <f>(S6/E5)-1</f>
        <v>3.0782029950083167E-2</v>
      </c>
      <c r="U6" s="72">
        <v>138.4</v>
      </c>
      <c r="V6" s="68">
        <f t="shared" ref="V6:V7" si="1">(U6/F5)-1</f>
        <v>1.2435991221653397E-2</v>
      </c>
      <c r="W6" s="72">
        <v>134.1</v>
      </c>
      <c r="X6" s="68">
        <f>(W6/G5)-1</f>
        <v>5.0117462803445534E-2</v>
      </c>
      <c r="Y6" s="72">
        <v>148.5</v>
      </c>
      <c r="Z6" s="68">
        <f>(Y6/H5)-1</f>
        <v>5.0955414012738842E-2</v>
      </c>
      <c r="AA6" s="72">
        <v>163.4</v>
      </c>
      <c r="AB6" s="68">
        <f>(AA6/I5)-1</f>
        <v>5.4874112330535851E-2</v>
      </c>
      <c r="AC6" s="72">
        <v>150.30000000000001</v>
      </c>
      <c r="AD6" s="68">
        <f>(AC6/J5)-1</f>
        <v>8.1294964028777006E-2</v>
      </c>
      <c r="AE6" s="47" t="str">
        <f t="shared" si="0"/>
        <v>Pre-COVID</v>
      </c>
    </row>
    <row r="7" spans="1:31" x14ac:dyDescent="0.35">
      <c r="A7" s="28">
        <v>43191</v>
      </c>
      <c r="B7" s="1">
        <v>137.1</v>
      </c>
      <c r="C7" s="1">
        <v>134.96666666666667</v>
      </c>
      <c r="D7" s="1">
        <v>135.19999999999999</v>
      </c>
      <c r="E7" s="1">
        <v>121.9</v>
      </c>
      <c r="F7" s="1">
        <v>136.5</v>
      </c>
      <c r="G7" s="1">
        <v>129.19999999999999</v>
      </c>
      <c r="H7" s="1">
        <v>142.9</v>
      </c>
      <c r="I7" s="1">
        <v>156.9</v>
      </c>
      <c r="J7" s="1">
        <v>141.4</v>
      </c>
      <c r="L7" s="67">
        <v>43525</v>
      </c>
      <c r="M7" s="47">
        <v>140.4</v>
      </c>
      <c r="N7" s="68">
        <f>(M7/B6)-1</f>
        <v>2.8571428571428692E-2</v>
      </c>
      <c r="O7" s="69">
        <v>135.4</v>
      </c>
      <c r="P7" s="68">
        <f>(O7/C6)-1</f>
        <v>3.7064492216456468E-3</v>
      </c>
      <c r="Q7" s="69">
        <v>146.19999999999999</v>
      </c>
      <c r="R7" s="68">
        <f>(Q7/D6)-1</f>
        <v>8.8607594936708667E-2</v>
      </c>
      <c r="S7" s="69">
        <v>124.6</v>
      </c>
      <c r="T7" s="68">
        <f>(S7/E6)-1</f>
        <v>2.9752066115702469E-2</v>
      </c>
      <c r="U7" s="72">
        <v>139.69999999999999</v>
      </c>
      <c r="V7" s="68">
        <f t="shared" si="1"/>
        <v>2.344322344322336E-2</v>
      </c>
      <c r="W7" s="72">
        <v>133.4</v>
      </c>
      <c r="X7" s="68">
        <f>(W7/G6)-1</f>
        <v>4.0561622464898806E-2</v>
      </c>
      <c r="Y7" s="72">
        <v>149</v>
      </c>
      <c r="Z7" s="68">
        <f>(Y7/H6)-1</f>
        <v>4.9295774647887258E-2</v>
      </c>
      <c r="AA7" s="72">
        <v>163.5</v>
      </c>
      <c r="AB7" s="68">
        <f>(AA7/I6)-1</f>
        <v>4.606525911708248E-2</v>
      </c>
      <c r="AC7" s="72">
        <v>150.30000000000001</v>
      </c>
      <c r="AD7" s="68">
        <f>(AC7/J6)-1</f>
        <v>7.510729613733913E-2</v>
      </c>
      <c r="AE7" s="47" t="str">
        <f t="shared" si="0"/>
        <v>Pre-COVID</v>
      </c>
    </row>
    <row r="8" spans="1:31" x14ac:dyDescent="0.35">
      <c r="A8" s="28">
        <v>43221</v>
      </c>
      <c r="B8" s="1">
        <v>137.80000000000001</v>
      </c>
      <c r="C8" s="1">
        <v>135.14166666666668</v>
      </c>
      <c r="D8" s="1">
        <v>136</v>
      </c>
      <c r="E8" s="1">
        <v>122.9</v>
      </c>
      <c r="F8" s="1">
        <v>136.9</v>
      </c>
      <c r="G8" s="1">
        <v>129.9</v>
      </c>
      <c r="H8" s="1">
        <v>143.19999999999999</v>
      </c>
      <c r="I8" s="1">
        <v>157.9</v>
      </c>
      <c r="J8" s="1">
        <v>142.1</v>
      </c>
      <c r="L8" s="67">
        <v>43586</v>
      </c>
      <c r="M8" s="47">
        <v>142</v>
      </c>
      <c r="N8" s="68">
        <f t="shared" ref="N8:N18" si="2">(M8/B8)-1</f>
        <v>3.0478955007256836E-2</v>
      </c>
      <c r="O8" s="69">
        <v>137.58333333333334</v>
      </c>
      <c r="P8" s="68">
        <f t="shared" ref="P8:P18" si="3">(O8/C8)-1</f>
        <v>1.8067460072763053E-2</v>
      </c>
      <c r="Q8" s="69">
        <v>146.9</v>
      </c>
      <c r="R8" s="68">
        <f>(Q8/D8)-1</f>
        <v>8.0147058823529349E-2</v>
      </c>
      <c r="S8" s="69">
        <v>124.9</v>
      </c>
      <c r="T8" s="68">
        <f t="shared" ref="T8:T18" si="4">(S8/E8)-1</f>
        <v>1.6273393002441017E-2</v>
      </c>
      <c r="U8" s="72">
        <v>140.30000000000001</v>
      </c>
      <c r="V8" s="68">
        <f>(U8/F8)-1</f>
        <v>2.4835646457268101E-2</v>
      </c>
      <c r="W8" s="72">
        <v>133.4</v>
      </c>
      <c r="X8" s="68">
        <f t="shared" ref="X8:X18" si="5">(W8/G8)-1</f>
        <v>2.6943802925327276E-2</v>
      </c>
      <c r="Y8" s="72">
        <v>150.1</v>
      </c>
      <c r="Z8" s="68">
        <f t="shared" ref="Z8:Z18" si="6">(Y8/H8)-1</f>
        <v>4.8184357541899425E-2</v>
      </c>
      <c r="AA8" s="72">
        <v>164.1</v>
      </c>
      <c r="AB8" s="68">
        <f t="shared" ref="AB8:AB18" si="7">(AA8/I8)-1</f>
        <v>3.9265357821405944E-2</v>
      </c>
      <c r="AC8" s="72">
        <v>151.6</v>
      </c>
      <c r="AD8" s="68">
        <f t="shared" ref="AD8:AD18" si="8">(AC8/J8)-1</f>
        <v>6.6854327938071778E-2</v>
      </c>
      <c r="AE8" s="47" t="str">
        <f t="shared" si="0"/>
        <v>Pre-COVID</v>
      </c>
    </row>
    <row r="9" spans="1:31" x14ac:dyDescent="0.35">
      <c r="A9" s="28">
        <v>43252</v>
      </c>
      <c r="B9" s="1">
        <v>138.5</v>
      </c>
      <c r="C9" s="1">
        <v>136.22499999999999</v>
      </c>
      <c r="D9" s="1">
        <v>136.19999999999999</v>
      </c>
      <c r="E9" s="1">
        <v>123.7</v>
      </c>
      <c r="F9" s="1">
        <v>138.1</v>
      </c>
      <c r="G9" s="1">
        <v>130.1</v>
      </c>
      <c r="H9" s="1">
        <v>142.5</v>
      </c>
      <c r="I9" s="1">
        <v>158.30000000000001</v>
      </c>
      <c r="J9" s="1">
        <v>142.80000000000001</v>
      </c>
      <c r="L9" s="67">
        <v>43617</v>
      </c>
      <c r="M9" s="47">
        <v>142.9</v>
      </c>
      <c r="N9" s="68">
        <f t="shared" si="2"/>
        <v>3.1768953068592065E-2</v>
      </c>
      <c r="O9" s="69">
        <v>139.28333333333333</v>
      </c>
      <c r="P9" s="68">
        <f t="shared" si="3"/>
        <v>2.2450602557044119E-2</v>
      </c>
      <c r="Q9" s="69">
        <v>147.4</v>
      </c>
      <c r="R9" s="68">
        <f t="shared" ref="R9:R18" si="9">(Q9/D9)-1</f>
        <v>8.2232011747430445E-2</v>
      </c>
      <c r="S9" s="69">
        <v>124.6</v>
      </c>
      <c r="T9" s="68">
        <f t="shared" si="4"/>
        <v>7.275666936135794E-3</v>
      </c>
      <c r="U9" s="72">
        <v>141.19999999999999</v>
      </c>
      <c r="V9" s="68">
        <f>(U9/F9)-1</f>
        <v>2.2447501810282322E-2</v>
      </c>
      <c r="W9" s="72">
        <v>134.30000000000001</v>
      </c>
      <c r="X9" s="68">
        <f t="shared" si="5"/>
        <v>3.2282859338970127E-2</v>
      </c>
      <c r="Y9" s="72">
        <v>149.4</v>
      </c>
      <c r="Z9" s="68">
        <f t="shared" si="6"/>
        <v>4.842105263157892E-2</v>
      </c>
      <c r="AA9" s="72">
        <v>164.9</v>
      </c>
      <c r="AB9" s="68">
        <f t="shared" si="7"/>
        <v>4.1692987997473008E-2</v>
      </c>
      <c r="AC9" s="72">
        <v>152.5</v>
      </c>
      <c r="AD9" s="68">
        <f t="shared" si="8"/>
        <v>6.792717086834732E-2</v>
      </c>
      <c r="AE9" s="47" t="str">
        <f t="shared" si="0"/>
        <v>Pre-COVID</v>
      </c>
    </row>
    <row r="10" spans="1:31" x14ac:dyDescent="0.35">
      <c r="A10" s="28">
        <v>43282</v>
      </c>
      <c r="B10" s="1">
        <v>139.80000000000001</v>
      </c>
      <c r="C10" s="1">
        <v>137.82499999999999</v>
      </c>
      <c r="D10" s="1">
        <v>137</v>
      </c>
      <c r="E10" s="1">
        <v>123.6</v>
      </c>
      <c r="F10" s="1">
        <v>139.69999999999999</v>
      </c>
      <c r="G10" s="1">
        <v>130.1</v>
      </c>
      <c r="H10" s="1">
        <v>143.6</v>
      </c>
      <c r="I10" s="1">
        <v>157.5</v>
      </c>
      <c r="J10" s="1">
        <v>144.69999999999999</v>
      </c>
      <c r="L10" s="67">
        <v>43647</v>
      </c>
      <c r="M10" s="47">
        <v>144.19999999999999</v>
      </c>
      <c r="N10" s="68">
        <f t="shared" si="2"/>
        <v>3.1473533619456262E-2</v>
      </c>
      <c r="O10" s="69">
        <v>141.06666666666666</v>
      </c>
      <c r="P10" s="68">
        <f t="shared" si="3"/>
        <v>2.3520164459761794E-2</v>
      </c>
      <c r="Q10" s="69">
        <v>147.9</v>
      </c>
      <c r="R10" s="68">
        <f t="shared" si="9"/>
        <v>7.9562043795620374E-2</v>
      </c>
      <c r="S10" s="69">
        <v>125.6</v>
      </c>
      <c r="T10" s="68">
        <f t="shared" si="4"/>
        <v>1.6181229773462702E-2</v>
      </c>
      <c r="U10" s="72">
        <v>139.30000000000001</v>
      </c>
      <c r="V10" s="68">
        <f t="shared" ref="V10:V16" si="10">(U10/F10)-1</f>
        <v>-2.8632784538294986E-3</v>
      </c>
      <c r="W10" s="72">
        <v>135.69999999999999</v>
      </c>
      <c r="X10" s="68">
        <f t="shared" si="5"/>
        <v>4.3043812451960095E-2</v>
      </c>
      <c r="Y10" s="72">
        <v>150.6</v>
      </c>
      <c r="Z10" s="68">
        <f t="shared" si="6"/>
        <v>4.8746518105849512E-2</v>
      </c>
      <c r="AA10" s="72">
        <v>165.2</v>
      </c>
      <c r="AB10" s="68">
        <f t="shared" si="7"/>
        <v>4.888888888888876E-2</v>
      </c>
      <c r="AC10" s="72">
        <v>154</v>
      </c>
      <c r="AD10" s="68">
        <f t="shared" si="8"/>
        <v>6.4270905321354599E-2</v>
      </c>
      <c r="AE10" s="47" t="str">
        <f t="shared" si="0"/>
        <v>Pre-COVID</v>
      </c>
    </row>
    <row r="11" spans="1:31" x14ac:dyDescent="0.35">
      <c r="A11" s="28">
        <v>43313</v>
      </c>
      <c r="B11" s="1">
        <v>140.4</v>
      </c>
      <c r="C11" s="1">
        <v>138.08333333333334</v>
      </c>
      <c r="D11" s="1">
        <v>137.69999999999999</v>
      </c>
      <c r="E11" s="1">
        <v>124.3</v>
      </c>
      <c r="F11" s="1">
        <v>140.9</v>
      </c>
      <c r="G11" s="1">
        <v>130.1</v>
      </c>
      <c r="H11" s="1">
        <v>144.6</v>
      </c>
      <c r="I11" s="1">
        <v>157.9</v>
      </c>
      <c r="J11" s="1">
        <v>146</v>
      </c>
      <c r="L11" s="67">
        <v>43678</v>
      </c>
      <c r="M11" s="47">
        <v>145</v>
      </c>
      <c r="N11" s="68">
        <f t="shared" si="2"/>
        <v>3.2763532763532721E-2</v>
      </c>
      <c r="O11" s="69">
        <v>141.71666666666667</v>
      </c>
      <c r="P11" s="68">
        <f t="shared" si="3"/>
        <v>2.6312613156306508E-2</v>
      </c>
      <c r="Q11" s="69">
        <v>148.5</v>
      </c>
      <c r="R11" s="68">
        <f t="shared" si="9"/>
        <v>7.8431372549019773E-2</v>
      </c>
      <c r="S11" s="69">
        <v>125.8</v>
      </c>
      <c r="T11" s="68">
        <f t="shared" si="4"/>
        <v>1.2067578439259874E-2</v>
      </c>
      <c r="U11" s="72">
        <v>138.5</v>
      </c>
      <c r="V11" s="68">
        <f t="shared" si="10"/>
        <v>-1.7033356990773685E-2</v>
      </c>
      <c r="W11" s="72">
        <v>138.4</v>
      </c>
      <c r="X11" s="68">
        <f t="shared" si="5"/>
        <v>6.3797079169869431E-2</v>
      </c>
      <c r="Y11" s="72">
        <v>151.6</v>
      </c>
      <c r="Z11" s="68">
        <f t="shared" si="6"/>
        <v>4.8409405255878335E-2</v>
      </c>
      <c r="AA11" s="72">
        <v>165.8</v>
      </c>
      <c r="AB11" s="68">
        <f t="shared" si="7"/>
        <v>5.0031665611146359E-2</v>
      </c>
      <c r="AC11" s="72">
        <v>154.9</v>
      </c>
      <c r="AD11" s="68">
        <f t="shared" si="8"/>
        <v>6.095890410958904E-2</v>
      </c>
      <c r="AE11" s="47" t="str">
        <f t="shared" si="0"/>
        <v>Pre-COVID</v>
      </c>
    </row>
    <row r="12" spans="1:31" x14ac:dyDescent="0.35">
      <c r="A12" s="28">
        <v>43344</v>
      </c>
      <c r="B12" s="1">
        <v>140.19999999999999</v>
      </c>
      <c r="C12" s="1">
        <v>136.59166666666667</v>
      </c>
      <c r="D12" s="1">
        <v>138.4</v>
      </c>
      <c r="E12" s="1">
        <v>126</v>
      </c>
      <c r="F12" s="1">
        <v>142.30000000000001</v>
      </c>
      <c r="G12" s="1">
        <v>130.9</v>
      </c>
      <c r="H12" s="1">
        <v>145.30000000000001</v>
      </c>
      <c r="I12" s="1">
        <v>159.19999999999999</v>
      </c>
      <c r="J12" s="1">
        <v>146.19999999999999</v>
      </c>
      <c r="L12" s="67">
        <v>43709</v>
      </c>
      <c r="M12" s="47">
        <v>145.80000000000001</v>
      </c>
      <c r="N12" s="68">
        <f t="shared" si="2"/>
        <v>3.9942938659058624E-2</v>
      </c>
      <c r="O12" s="69">
        <v>142.55833333333331</v>
      </c>
      <c r="P12" s="68">
        <f t="shared" si="3"/>
        <v>4.3682508693795086E-2</v>
      </c>
      <c r="Q12" s="69">
        <v>149</v>
      </c>
      <c r="R12" s="68">
        <f t="shared" si="9"/>
        <v>7.6589595375722519E-2</v>
      </c>
      <c r="S12" s="69">
        <v>126.1</v>
      </c>
      <c r="T12" s="68">
        <f t="shared" si="4"/>
        <v>7.9365079365079083E-4</v>
      </c>
      <c r="U12" s="72">
        <v>139.19999999999999</v>
      </c>
      <c r="V12" s="68">
        <f t="shared" si="10"/>
        <v>-2.1784961349262333E-2</v>
      </c>
      <c r="W12" s="72">
        <v>139.69999999999999</v>
      </c>
      <c r="X12" s="68">
        <f t="shared" si="5"/>
        <v>6.7226890756302282E-2</v>
      </c>
      <c r="Y12" s="72">
        <v>152.19999999999999</v>
      </c>
      <c r="Z12" s="68">
        <f t="shared" si="6"/>
        <v>4.7487955953200212E-2</v>
      </c>
      <c r="AA12" s="72">
        <v>166.5</v>
      </c>
      <c r="AB12" s="68">
        <f t="shared" si="7"/>
        <v>4.5854271356783993E-2</v>
      </c>
      <c r="AC12" s="72">
        <v>155.19999999999999</v>
      </c>
      <c r="AD12" s="68">
        <f t="shared" si="8"/>
        <v>6.1559507523939905E-2</v>
      </c>
      <c r="AE12" s="47" t="str">
        <f t="shared" si="0"/>
        <v>Pre-COVID</v>
      </c>
    </row>
    <row r="13" spans="1:31" x14ac:dyDescent="0.35">
      <c r="A13" s="28">
        <v>43374</v>
      </c>
      <c r="B13" s="1">
        <v>140.80000000000001</v>
      </c>
      <c r="C13" s="1">
        <v>136.375</v>
      </c>
      <c r="D13" s="1">
        <v>142.1</v>
      </c>
      <c r="E13" s="1">
        <v>125.5</v>
      </c>
      <c r="F13" s="1">
        <v>145.30000000000001</v>
      </c>
      <c r="G13" s="1">
        <v>132</v>
      </c>
      <c r="H13" s="1">
        <v>146.9</v>
      </c>
      <c r="I13" s="1">
        <v>162.6</v>
      </c>
      <c r="J13" s="1">
        <v>147.80000000000001</v>
      </c>
      <c r="L13" s="67">
        <v>43739</v>
      </c>
      <c r="M13" s="47">
        <v>147.19999999999999</v>
      </c>
      <c r="N13" s="68">
        <f t="shared" si="2"/>
        <v>4.5454545454545192E-2</v>
      </c>
      <c r="O13" s="69">
        <v>144.66666666666666</v>
      </c>
      <c r="P13" s="68">
        <f t="shared" si="3"/>
        <v>6.0800488848151479E-2</v>
      </c>
      <c r="Q13" s="69">
        <v>149.4</v>
      </c>
      <c r="R13" s="68">
        <f t="shared" si="9"/>
        <v>5.1372273047149974E-2</v>
      </c>
      <c r="S13" s="69">
        <v>126.3</v>
      </c>
      <c r="T13" s="68">
        <f t="shared" si="4"/>
        <v>6.3745019920318224E-3</v>
      </c>
      <c r="U13" s="72">
        <v>140.6</v>
      </c>
      <c r="V13" s="68">
        <f t="shared" si="10"/>
        <v>-3.2346868547832197E-2</v>
      </c>
      <c r="W13" s="72">
        <v>140</v>
      </c>
      <c r="X13" s="68">
        <f t="shared" si="5"/>
        <v>6.0606060606060552E-2</v>
      </c>
      <c r="Y13" s="72">
        <v>153</v>
      </c>
      <c r="Z13" s="68">
        <f t="shared" si="6"/>
        <v>4.1524846834581242E-2</v>
      </c>
      <c r="AA13" s="72">
        <v>167.1</v>
      </c>
      <c r="AB13" s="68">
        <f t="shared" si="7"/>
        <v>2.7675276752767486E-2</v>
      </c>
      <c r="AC13" s="72">
        <v>155.4</v>
      </c>
      <c r="AD13" s="68">
        <f t="shared" si="8"/>
        <v>5.1420838971583116E-2</v>
      </c>
      <c r="AE13" s="47" t="str">
        <f t="shared" si="0"/>
        <v>Pre-COVID</v>
      </c>
    </row>
    <row r="14" spans="1:31" x14ac:dyDescent="0.35">
      <c r="A14" s="28">
        <v>43405</v>
      </c>
      <c r="B14" s="1">
        <v>140.80000000000001</v>
      </c>
      <c r="C14" s="1">
        <v>136.33333333333334</v>
      </c>
      <c r="D14" s="1">
        <v>142.1</v>
      </c>
      <c r="E14" s="1">
        <v>125.5</v>
      </c>
      <c r="F14" s="1">
        <v>145.1</v>
      </c>
      <c r="G14" s="1">
        <v>132</v>
      </c>
      <c r="H14" s="1">
        <v>146.9</v>
      </c>
      <c r="I14" s="1">
        <v>162.6</v>
      </c>
      <c r="J14" s="1">
        <v>147.80000000000001</v>
      </c>
      <c r="L14" s="67">
        <v>43770</v>
      </c>
      <c r="M14" s="47">
        <v>148.6</v>
      </c>
      <c r="N14" s="68">
        <f t="shared" si="2"/>
        <v>5.5397727272727071E-2</v>
      </c>
      <c r="O14" s="69">
        <v>146.58333333333334</v>
      </c>
      <c r="P14" s="68">
        <f t="shared" si="3"/>
        <v>7.5183374083129584E-2</v>
      </c>
      <c r="Q14" s="69">
        <v>149.9</v>
      </c>
      <c r="R14" s="68">
        <f t="shared" si="9"/>
        <v>5.4890921885995869E-2</v>
      </c>
      <c r="S14" s="69">
        <v>126.6</v>
      </c>
      <c r="T14" s="68">
        <f t="shared" si="4"/>
        <v>8.7649402390437281E-3</v>
      </c>
      <c r="U14" s="72">
        <v>142.30000000000001</v>
      </c>
      <c r="V14" s="68">
        <f t="shared" si="10"/>
        <v>-1.9297036526533362E-2</v>
      </c>
      <c r="W14" s="72">
        <v>140.30000000000001</v>
      </c>
      <c r="X14" s="68">
        <f t="shared" si="5"/>
        <v>6.2878787878787978E-2</v>
      </c>
      <c r="Y14" s="72">
        <v>153.5</v>
      </c>
      <c r="Z14" s="68">
        <f t="shared" si="6"/>
        <v>4.4928522804629001E-2</v>
      </c>
      <c r="AA14" s="72">
        <v>167.9</v>
      </c>
      <c r="AB14" s="68">
        <f t="shared" si="7"/>
        <v>3.2595325953259646E-2</v>
      </c>
      <c r="AC14" s="72">
        <v>155.5</v>
      </c>
      <c r="AD14" s="68">
        <f t="shared" si="8"/>
        <v>5.2097428958051362E-2</v>
      </c>
      <c r="AE14" s="47" t="str">
        <f t="shared" si="0"/>
        <v>Pre-COVID</v>
      </c>
    </row>
    <row r="15" spans="1:31" x14ac:dyDescent="0.35">
      <c r="A15" s="28">
        <v>43435</v>
      </c>
      <c r="B15" s="1">
        <v>140.1</v>
      </c>
      <c r="C15" s="1">
        <v>135.3833333333333</v>
      </c>
      <c r="D15" s="1">
        <v>144.9</v>
      </c>
      <c r="E15" s="1">
        <v>123.6</v>
      </c>
      <c r="F15" s="1">
        <v>142.69999999999999</v>
      </c>
      <c r="G15" s="1">
        <v>132.19999999999999</v>
      </c>
      <c r="H15" s="1">
        <v>146.5</v>
      </c>
      <c r="I15" s="1">
        <v>163</v>
      </c>
      <c r="J15" s="1">
        <v>150.1</v>
      </c>
      <c r="L15" s="67">
        <v>43800</v>
      </c>
      <c r="M15" s="47">
        <v>150.4</v>
      </c>
      <c r="N15" s="68">
        <f t="shared" si="2"/>
        <v>7.3518915060670986E-2</v>
      </c>
      <c r="O15" s="69">
        <v>149.25833333333335</v>
      </c>
      <c r="P15" s="68">
        <f t="shared" si="3"/>
        <v>0.10248676597316297</v>
      </c>
      <c r="Q15" s="69">
        <v>150.4</v>
      </c>
      <c r="R15" s="68">
        <f t="shared" si="9"/>
        <v>3.7957211870255358E-2</v>
      </c>
      <c r="S15" s="69">
        <v>129.80000000000001</v>
      </c>
      <c r="T15" s="68">
        <f t="shared" si="4"/>
        <v>5.0161812297734754E-2</v>
      </c>
      <c r="U15" s="72">
        <v>143.69999999999999</v>
      </c>
      <c r="V15" s="68">
        <f t="shared" si="10"/>
        <v>7.0077084793271904E-3</v>
      </c>
      <c r="W15" s="72">
        <v>140.4</v>
      </c>
      <c r="X15" s="68">
        <f t="shared" si="5"/>
        <v>6.2027231467473687E-2</v>
      </c>
      <c r="Y15" s="72">
        <v>152.80000000000001</v>
      </c>
      <c r="Z15" s="68">
        <f t="shared" si="6"/>
        <v>4.3003412969283339E-2</v>
      </c>
      <c r="AA15" s="72">
        <v>168.5</v>
      </c>
      <c r="AB15" s="68">
        <f t="shared" si="7"/>
        <v>3.3742331288343586E-2</v>
      </c>
      <c r="AC15" s="72">
        <v>155.69999999999999</v>
      </c>
      <c r="AD15" s="68">
        <f t="shared" si="8"/>
        <v>3.730846102598262E-2</v>
      </c>
      <c r="AE15" s="47" t="str">
        <f t="shared" si="0"/>
        <v>Pre-COVID</v>
      </c>
    </row>
    <row r="16" spans="1:31" x14ac:dyDescent="0.35">
      <c r="A16" s="28">
        <v>43466</v>
      </c>
      <c r="B16" s="1">
        <v>139.6</v>
      </c>
      <c r="C16" s="1">
        <v>134.66666666666666</v>
      </c>
      <c r="D16" s="1">
        <v>145.1</v>
      </c>
      <c r="E16" s="1">
        <v>123.3</v>
      </c>
      <c r="F16" s="1">
        <v>139.5</v>
      </c>
      <c r="G16" s="1">
        <v>132.80000000000001</v>
      </c>
      <c r="H16" s="1">
        <v>147.69999999999999</v>
      </c>
      <c r="I16" s="1">
        <v>163.19999999999999</v>
      </c>
      <c r="J16" s="1">
        <v>150.19999999999999</v>
      </c>
      <c r="L16" s="67">
        <v>43831</v>
      </c>
      <c r="M16" s="47">
        <v>150.19999999999999</v>
      </c>
      <c r="N16" s="68">
        <f t="shared" si="2"/>
        <v>7.5931232091690504E-2</v>
      </c>
      <c r="O16" s="69">
        <v>148.90833333333333</v>
      </c>
      <c r="P16" s="68">
        <f t="shared" si="3"/>
        <v>0.10575495049504946</v>
      </c>
      <c r="Q16" s="69">
        <v>151.19999999999999</v>
      </c>
      <c r="R16" s="68">
        <f t="shared" si="9"/>
        <v>4.2039972432804884E-2</v>
      </c>
      <c r="S16" s="69">
        <v>130.9</v>
      </c>
      <c r="T16" s="68">
        <f t="shared" si="4"/>
        <v>6.1638280616382879E-2</v>
      </c>
      <c r="U16" s="72">
        <v>144.6</v>
      </c>
      <c r="V16" s="68">
        <f t="shared" si="10"/>
        <v>3.6559139784946293E-2</v>
      </c>
      <c r="W16" s="72">
        <v>142.30000000000001</v>
      </c>
      <c r="X16" s="68">
        <f t="shared" si="5"/>
        <v>7.1536144578313143E-2</v>
      </c>
      <c r="Y16" s="72">
        <v>153.9</v>
      </c>
      <c r="Z16" s="68">
        <f t="shared" si="6"/>
        <v>4.1976980365606043E-2</v>
      </c>
      <c r="AA16" s="72">
        <v>169.2</v>
      </c>
      <c r="AB16" s="68">
        <f t="shared" si="7"/>
        <v>3.6764705882353033E-2</v>
      </c>
      <c r="AC16" s="72">
        <v>156.1</v>
      </c>
      <c r="AD16" s="68">
        <f t="shared" si="8"/>
        <v>3.9280958721704451E-2</v>
      </c>
      <c r="AE16" s="47" t="str">
        <f t="shared" si="0"/>
        <v>Pre-COVID</v>
      </c>
    </row>
    <row r="17" spans="1:31" x14ac:dyDescent="0.35">
      <c r="A17" s="28">
        <v>43497</v>
      </c>
      <c r="B17" s="1">
        <v>139.9</v>
      </c>
      <c r="C17" s="1">
        <v>134.96666666666667</v>
      </c>
      <c r="D17" s="1">
        <v>145.6</v>
      </c>
      <c r="E17" s="1">
        <v>123.9</v>
      </c>
      <c r="F17" s="1">
        <v>138.4</v>
      </c>
      <c r="G17" s="1">
        <v>134.1</v>
      </c>
      <c r="H17" s="1">
        <v>148.5</v>
      </c>
      <c r="I17" s="1">
        <v>163.4</v>
      </c>
      <c r="J17" s="1">
        <v>150.30000000000001</v>
      </c>
      <c r="L17" s="67">
        <v>43862</v>
      </c>
      <c r="M17" s="47">
        <v>149.1</v>
      </c>
      <c r="N17" s="68">
        <f t="shared" si="2"/>
        <v>6.5761258041458159E-2</v>
      </c>
      <c r="O17" s="69">
        <v>146.75833333333333</v>
      </c>
      <c r="P17" s="68">
        <f t="shared" si="3"/>
        <v>8.7367251173129157E-2</v>
      </c>
      <c r="Q17" s="69">
        <v>151.69999999999999</v>
      </c>
      <c r="R17" s="68">
        <f t="shared" si="9"/>
        <v>4.1895604395604469E-2</v>
      </c>
      <c r="S17" s="69">
        <v>130.30000000000001</v>
      </c>
      <c r="T17" s="68">
        <f t="shared" si="4"/>
        <v>5.1654560129136495E-2</v>
      </c>
      <c r="U17" s="72">
        <v>147.19999999999999</v>
      </c>
      <c r="V17" s="68">
        <f>(U17/F17)-1</f>
        <v>6.3583815028901647E-2</v>
      </c>
      <c r="W17" s="72">
        <v>143.4</v>
      </c>
      <c r="X17" s="68">
        <f t="shared" si="5"/>
        <v>6.9351230425056087E-2</v>
      </c>
      <c r="Y17" s="72">
        <v>154.80000000000001</v>
      </c>
      <c r="Z17" s="68">
        <f t="shared" si="6"/>
        <v>4.2424242424242475E-2</v>
      </c>
      <c r="AA17" s="72">
        <v>170.1</v>
      </c>
      <c r="AB17" s="68">
        <f t="shared" si="7"/>
        <v>4.1003671970624156E-2</v>
      </c>
      <c r="AC17" s="72">
        <v>156.19999999999999</v>
      </c>
      <c r="AD17" s="68">
        <f t="shared" si="8"/>
        <v>3.9254823685961338E-2</v>
      </c>
      <c r="AE17" s="47" t="str">
        <f t="shared" si="0"/>
        <v>Pre-COVID</v>
      </c>
    </row>
    <row r="18" spans="1:31" x14ac:dyDescent="0.35">
      <c r="A18" s="28">
        <v>43525</v>
      </c>
      <c r="B18" s="1">
        <v>140.4</v>
      </c>
      <c r="C18" s="1">
        <v>135.4</v>
      </c>
      <c r="D18" s="1">
        <v>146.19999999999999</v>
      </c>
      <c r="E18" s="1">
        <v>124.6</v>
      </c>
      <c r="F18" s="1">
        <v>139.69999999999999</v>
      </c>
      <c r="G18" s="1">
        <v>133.4</v>
      </c>
      <c r="H18" s="1">
        <v>149</v>
      </c>
      <c r="I18" s="1">
        <v>163.5</v>
      </c>
      <c r="J18" s="1">
        <v>150.30000000000001</v>
      </c>
      <c r="L18" s="73">
        <v>43891</v>
      </c>
      <c r="M18" s="74">
        <v>148.6</v>
      </c>
      <c r="N18" s="70">
        <f t="shared" si="2"/>
        <v>5.8404558404558271E-2</v>
      </c>
      <c r="O18" s="75">
        <v>145.54166666666666</v>
      </c>
      <c r="P18" s="70">
        <f t="shared" si="3"/>
        <v>7.4901526341703439E-2</v>
      </c>
      <c r="Q18" s="75">
        <v>152.30000000000001</v>
      </c>
      <c r="R18" s="70">
        <f t="shared" si="9"/>
        <v>4.1723666210670363E-2</v>
      </c>
      <c r="S18" s="75">
        <v>129.9</v>
      </c>
      <c r="T18" s="70">
        <f t="shared" si="4"/>
        <v>4.2536115569823618E-2</v>
      </c>
      <c r="U18" s="76">
        <v>148.9</v>
      </c>
      <c r="V18" s="70">
        <f>(U18/F18)-1</f>
        <v>6.5855404438081688E-2</v>
      </c>
      <c r="W18" s="76">
        <v>145.19999999999999</v>
      </c>
      <c r="X18" s="70">
        <f t="shared" si="5"/>
        <v>8.8455772113942954E-2</v>
      </c>
      <c r="Y18" s="76">
        <v>154.5</v>
      </c>
      <c r="Z18" s="70">
        <f t="shared" si="6"/>
        <v>3.691275167785224E-2</v>
      </c>
      <c r="AA18" s="76">
        <v>171.2</v>
      </c>
      <c r="AB18" s="70">
        <f t="shared" si="7"/>
        <v>4.70948012232415E-2</v>
      </c>
      <c r="AC18" s="76">
        <v>156.1</v>
      </c>
      <c r="AD18" s="70">
        <f t="shared" si="8"/>
        <v>3.8589487691284008E-2</v>
      </c>
      <c r="AE18" s="74" t="str">
        <f t="shared" si="0"/>
        <v>COVID Onset</v>
      </c>
    </row>
    <row r="19" spans="1:31" x14ac:dyDescent="0.35">
      <c r="A19" s="28">
        <v>43586</v>
      </c>
      <c r="B19" s="1">
        <v>142</v>
      </c>
      <c r="C19" s="1">
        <v>137.58333333333334</v>
      </c>
      <c r="D19" s="1">
        <v>146.9</v>
      </c>
      <c r="E19" s="1">
        <v>124.9</v>
      </c>
      <c r="F19" s="1">
        <v>140.30000000000001</v>
      </c>
      <c r="G19" s="1">
        <v>133.4</v>
      </c>
      <c r="H19" s="1">
        <v>150.1</v>
      </c>
      <c r="I19" s="1">
        <v>164.1</v>
      </c>
      <c r="J19" s="1">
        <v>151.6</v>
      </c>
      <c r="L19" s="67">
        <v>43922</v>
      </c>
      <c r="M19" s="69">
        <v>149.66666666666666</v>
      </c>
      <c r="N19" s="71" t="s">
        <v>164</v>
      </c>
      <c r="O19" s="69">
        <v>150.6</v>
      </c>
      <c r="P19" s="68" t="s">
        <v>164</v>
      </c>
      <c r="Q19" s="69">
        <v>150.69999999999999</v>
      </c>
      <c r="R19" s="68" t="s">
        <v>164</v>
      </c>
      <c r="S19" s="69">
        <v>131.6</v>
      </c>
      <c r="T19" s="68" t="s">
        <v>164</v>
      </c>
      <c r="U19" s="72">
        <v>144.1</v>
      </c>
      <c r="V19" s="68" t="s">
        <v>164</v>
      </c>
      <c r="W19" s="72">
        <v>147.33333333333331</v>
      </c>
      <c r="X19" s="68" t="s">
        <v>164</v>
      </c>
      <c r="Y19" s="72">
        <v>155.6</v>
      </c>
      <c r="Z19" s="68" t="s">
        <v>164</v>
      </c>
      <c r="AA19" s="72">
        <v>175.3</v>
      </c>
      <c r="AB19" s="68" t="s">
        <v>164</v>
      </c>
      <c r="AC19" s="72">
        <v>156.19999999999999</v>
      </c>
      <c r="AD19" s="68" t="s">
        <v>164</v>
      </c>
      <c r="AE19" s="47" t="str">
        <f t="shared" si="0"/>
        <v>Lockdown</v>
      </c>
    </row>
    <row r="20" spans="1:31" x14ac:dyDescent="0.35">
      <c r="A20" s="28">
        <v>43617</v>
      </c>
      <c r="B20" s="1">
        <v>142.9</v>
      </c>
      <c r="C20" s="1">
        <v>139.28333333333333</v>
      </c>
      <c r="D20" s="1">
        <v>147.4</v>
      </c>
      <c r="E20" s="1">
        <v>124.6</v>
      </c>
      <c r="F20" s="1">
        <v>141.19999999999999</v>
      </c>
      <c r="G20" s="1">
        <v>134.30000000000001</v>
      </c>
      <c r="H20" s="1">
        <v>149.4</v>
      </c>
      <c r="I20" s="1">
        <v>164.9</v>
      </c>
      <c r="J20" s="1">
        <v>152.5</v>
      </c>
      <c r="L20" s="67">
        <v>43952</v>
      </c>
      <c r="M20" s="69">
        <v>150.73333333333332</v>
      </c>
      <c r="N20" s="68">
        <f t="shared" ref="N20:N56" si="11">(M20/B19)-1</f>
        <v>6.150234741784022E-2</v>
      </c>
      <c r="O20" s="69">
        <v>150.83333333333331</v>
      </c>
      <c r="P20" s="68">
        <f t="shared" ref="P20:P56" si="12">(O20/C19)-1</f>
        <v>9.6305269533615734E-2</v>
      </c>
      <c r="Q20" s="69">
        <v>152.55000000000001</v>
      </c>
      <c r="R20" s="68">
        <f>(Q20/D19)-1</f>
        <v>3.8461538461538547E-2</v>
      </c>
      <c r="S20" s="69">
        <v>133.30000000000001</v>
      </c>
      <c r="T20" s="68">
        <f t="shared" ref="T20:T56" si="13">(S20/E19)-1</f>
        <v>6.7253803042433891E-2</v>
      </c>
      <c r="U20" s="72">
        <v>143</v>
      </c>
      <c r="V20" s="68">
        <f>(U20/F19)-1</f>
        <v>1.9244476122594278E-2</v>
      </c>
      <c r="W20" s="72">
        <v>149.46666666666664</v>
      </c>
      <c r="X20" s="68">
        <f t="shared" ref="X20:X56" si="14">(W20/G19)-1</f>
        <v>0.12043978010994483</v>
      </c>
      <c r="Y20" s="72">
        <v>155.15</v>
      </c>
      <c r="Z20" s="68">
        <f t="shared" ref="Z20:Z56" si="15">(Y20/H19)-1</f>
        <v>3.3644237175216585E-2</v>
      </c>
      <c r="AA20" s="72">
        <v>179.4</v>
      </c>
      <c r="AB20" s="68">
        <f t="shared" ref="AB20:AB56" si="16">(AA20/I19)-1</f>
        <v>9.323583180987205E-2</v>
      </c>
      <c r="AC20" s="72">
        <v>156.27000000000001</v>
      </c>
      <c r="AD20" s="68">
        <f t="shared" ref="AD20:AD56" si="17">(AC20/J19)-1</f>
        <v>3.0804749340369586E-2</v>
      </c>
      <c r="AE20" s="47" t="str">
        <f t="shared" si="0"/>
        <v>Lockdown</v>
      </c>
    </row>
    <row r="21" spans="1:31" x14ac:dyDescent="0.35">
      <c r="A21" s="28">
        <v>43647</v>
      </c>
      <c r="B21" s="1">
        <v>144.19999999999999</v>
      </c>
      <c r="C21" s="1">
        <v>141.06666666666666</v>
      </c>
      <c r="D21" s="1">
        <v>147.9</v>
      </c>
      <c r="E21" s="1">
        <v>125.6</v>
      </c>
      <c r="F21" s="1">
        <v>139.30000000000001</v>
      </c>
      <c r="G21" s="1">
        <v>135.69999999999999</v>
      </c>
      <c r="H21" s="1">
        <v>150.6</v>
      </c>
      <c r="I21" s="1">
        <v>165.2</v>
      </c>
      <c r="J21" s="1">
        <v>154</v>
      </c>
      <c r="L21" s="67">
        <v>43983</v>
      </c>
      <c r="M21" s="47">
        <v>151.80000000000001</v>
      </c>
      <c r="N21" s="68">
        <f t="shared" si="11"/>
        <v>6.2281315605318355E-2</v>
      </c>
      <c r="O21" s="69">
        <v>151.06666666666669</v>
      </c>
      <c r="P21" s="68">
        <f t="shared" si="12"/>
        <v>8.4599736747636989E-2</v>
      </c>
      <c r="Q21" s="69">
        <v>154.4</v>
      </c>
      <c r="R21" s="68">
        <f t="shared" ref="R21:R56" si="18">(Q21/D20)-1</f>
        <v>4.7489823609226489E-2</v>
      </c>
      <c r="S21" s="69">
        <v>135</v>
      </c>
      <c r="T21" s="68">
        <f t="shared" si="13"/>
        <v>8.3467094703049804E-2</v>
      </c>
      <c r="U21" s="72">
        <v>141.9</v>
      </c>
      <c r="V21" s="68">
        <f t="shared" ref="V21:V56" si="19">(U21/F20)-1</f>
        <v>4.9575070821530343E-3</v>
      </c>
      <c r="W21" s="72">
        <v>151.6</v>
      </c>
      <c r="X21" s="68">
        <f t="shared" si="14"/>
        <v>0.12881608339538331</v>
      </c>
      <c r="Y21" s="72">
        <v>154.69999999999999</v>
      </c>
      <c r="Z21" s="68">
        <f t="shared" si="15"/>
        <v>3.5475234270414768E-2</v>
      </c>
      <c r="AA21" s="72">
        <v>183.5</v>
      </c>
      <c r="AB21" s="68">
        <f t="shared" si="16"/>
        <v>0.11279563371740453</v>
      </c>
      <c r="AC21" s="72">
        <v>156.4</v>
      </c>
      <c r="AD21" s="68">
        <f t="shared" si="17"/>
        <v>2.5573770491803316E-2</v>
      </c>
      <c r="AE21" s="47" t="str">
        <f t="shared" si="0"/>
        <v>Post-COVID</v>
      </c>
    </row>
    <row r="22" spans="1:31" x14ac:dyDescent="0.35">
      <c r="A22" s="28">
        <v>43678</v>
      </c>
      <c r="B22" s="1">
        <v>145</v>
      </c>
      <c r="C22" s="1">
        <v>141.71666666666667</v>
      </c>
      <c r="D22" s="1">
        <v>148.5</v>
      </c>
      <c r="E22" s="1">
        <v>125.8</v>
      </c>
      <c r="F22" s="1">
        <v>138.5</v>
      </c>
      <c r="G22" s="1">
        <v>138.4</v>
      </c>
      <c r="H22" s="1">
        <v>151.6</v>
      </c>
      <c r="I22" s="1">
        <v>165.8</v>
      </c>
      <c r="J22" s="1">
        <v>154.9</v>
      </c>
      <c r="L22" s="67">
        <v>44013</v>
      </c>
      <c r="M22" s="47">
        <v>151.80000000000001</v>
      </c>
      <c r="N22" s="68">
        <f t="shared" si="11"/>
        <v>5.2704576976421835E-2</v>
      </c>
      <c r="O22" s="69">
        <v>151.06666666666669</v>
      </c>
      <c r="P22" s="68">
        <f t="shared" si="12"/>
        <v>7.0888468809073846E-2</v>
      </c>
      <c r="Q22" s="69">
        <v>154.4</v>
      </c>
      <c r="R22" s="68">
        <f t="shared" si="18"/>
        <v>4.3948613928330049E-2</v>
      </c>
      <c r="S22" s="69">
        <v>135</v>
      </c>
      <c r="T22" s="68">
        <f t="shared" si="13"/>
        <v>7.4840764331210341E-2</v>
      </c>
      <c r="U22" s="72">
        <v>141.9</v>
      </c>
      <c r="V22" s="68">
        <f t="shared" si="19"/>
        <v>1.8664752333094059E-2</v>
      </c>
      <c r="W22" s="72">
        <v>151.6</v>
      </c>
      <c r="X22" s="68">
        <f t="shared" si="14"/>
        <v>0.1171702284450995</v>
      </c>
      <c r="Y22" s="72">
        <v>154.69999999999999</v>
      </c>
      <c r="Z22" s="68">
        <f t="shared" si="15"/>
        <v>2.7224435590969431E-2</v>
      </c>
      <c r="AA22" s="72">
        <v>183.5</v>
      </c>
      <c r="AB22" s="68">
        <f t="shared" si="16"/>
        <v>0.11077481840193704</v>
      </c>
      <c r="AC22" s="72">
        <v>156.4</v>
      </c>
      <c r="AD22" s="68">
        <f t="shared" si="17"/>
        <v>1.558441558441559E-2</v>
      </c>
      <c r="AE22" s="47" t="str">
        <f t="shared" si="0"/>
        <v>Post-COVID</v>
      </c>
    </row>
    <row r="23" spans="1:31" x14ac:dyDescent="0.35">
      <c r="A23" s="28">
        <v>43709</v>
      </c>
      <c r="B23" s="1">
        <v>145.80000000000001</v>
      </c>
      <c r="C23" s="1">
        <v>142.55833333333331</v>
      </c>
      <c r="D23" s="1">
        <v>149</v>
      </c>
      <c r="E23" s="1">
        <v>126.1</v>
      </c>
      <c r="F23" s="1">
        <v>139.19999999999999</v>
      </c>
      <c r="G23" s="1">
        <v>139.69999999999999</v>
      </c>
      <c r="H23" s="1">
        <v>152.19999999999999</v>
      </c>
      <c r="I23" s="1">
        <v>166.5</v>
      </c>
      <c r="J23" s="1">
        <v>155.19999999999999</v>
      </c>
      <c r="L23" s="67">
        <v>44044</v>
      </c>
      <c r="M23" s="47">
        <v>153.9</v>
      </c>
      <c r="N23" s="68">
        <f t="shared" si="11"/>
        <v>6.1379310344827687E-2</v>
      </c>
      <c r="O23" s="69">
        <v>153.18333333333331</v>
      </c>
      <c r="P23" s="68">
        <f t="shared" si="12"/>
        <v>8.0912619075620196E-2</v>
      </c>
      <c r="Q23" s="69">
        <v>155</v>
      </c>
      <c r="R23" s="68">
        <f t="shared" si="18"/>
        <v>4.3771043771043683E-2</v>
      </c>
      <c r="S23" s="69">
        <v>138.5</v>
      </c>
      <c r="T23" s="68">
        <f t="shared" si="13"/>
        <v>0.10095389507154207</v>
      </c>
      <c r="U23" s="72">
        <v>143</v>
      </c>
      <c r="V23" s="68">
        <f t="shared" si="19"/>
        <v>3.2490974729241895E-2</v>
      </c>
      <c r="W23" s="72">
        <v>154.30000000000001</v>
      </c>
      <c r="X23" s="68">
        <f t="shared" si="14"/>
        <v>0.11488439306358389</v>
      </c>
      <c r="Y23" s="72">
        <v>155.5</v>
      </c>
      <c r="Z23" s="68">
        <f t="shared" si="15"/>
        <v>2.5725593667546232E-2</v>
      </c>
      <c r="AA23" s="72">
        <v>182.6</v>
      </c>
      <c r="AB23" s="68">
        <f t="shared" si="16"/>
        <v>0.1013268998793726</v>
      </c>
      <c r="AC23" s="72">
        <v>158.5</v>
      </c>
      <c r="AD23" s="68">
        <f t="shared" si="17"/>
        <v>2.3240800516462157E-2</v>
      </c>
      <c r="AE23" s="47" t="str">
        <f t="shared" si="0"/>
        <v>Post-COVID</v>
      </c>
    </row>
    <row r="24" spans="1:31" x14ac:dyDescent="0.35">
      <c r="A24" s="28">
        <v>43739</v>
      </c>
      <c r="B24" s="1">
        <v>147.19999999999999</v>
      </c>
      <c r="C24" s="1">
        <v>144.66666666666666</v>
      </c>
      <c r="D24" s="1">
        <v>149.4</v>
      </c>
      <c r="E24" s="1">
        <v>126.3</v>
      </c>
      <c r="F24" s="1">
        <v>140.6</v>
      </c>
      <c r="G24" s="1">
        <v>140</v>
      </c>
      <c r="H24" s="1">
        <v>153</v>
      </c>
      <c r="I24" s="1">
        <v>167.1</v>
      </c>
      <c r="J24" s="1">
        <v>155.4</v>
      </c>
      <c r="L24" s="67">
        <v>44075</v>
      </c>
      <c r="M24" s="47">
        <v>154.69999999999999</v>
      </c>
      <c r="N24" s="68">
        <f t="shared" si="11"/>
        <v>6.104252400548682E-2</v>
      </c>
      <c r="O24" s="69">
        <v>154.08333333333334</v>
      </c>
      <c r="P24" s="68">
        <f t="shared" si="12"/>
        <v>8.0844098906880379E-2</v>
      </c>
      <c r="Q24" s="69">
        <v>155.6</v>
      </c>
      <c r="R24" s="68">
        <f t="shared" si="18"/>
        <v>4.4295302013422688E-2</v>
      </c>
      <c r="S24" s="69">
        <v>139.6</v>
      </c>
      <c r="T24" s="68">
        <f t="shared" si="13"/>
        <v>0.10705789056304527</v>
      </c>
      <c r="U24" s="72">
        <v>142.9</v>
      </c>
      <c r="V24" s="68">
        <f t="shared" si="19"/>
        <v>2.6580459770115139E-2</v>
      </c>
      <c r="W24" s="72">
        <v>158.4</v>
      </c>
      <c r="X24" s="68">
        <f t="shared" si="14"/>
        <v>0.13385826771653564</v>
      </c>
      <c r="Y24" s="72">
        <v>156.30000000000001</v>
      </c>
      <c r="Z24" s="68">
        <f t="shared" si="15"/>
        <v>2.6938239159001398E-2</v>
      </c>
      <c r="AA24" s="72">
        <v>184.4</v>
      </c>
      <c r="AB24" s="68">
        <f t="shared" si="16"/>
        <v>0.10750750750750759</v>
      </c>
      <c r="AC24" s="72">
        <v>157.5</v>
      </c>
      <c r="AD24" s="68">
        <f t="shared" si="17"/>
        <v>1.4819587628866149E-2</v>
      </c>
      <c r="AE24" s="47" t="str">
        <f t="shared" si="0"/>
        <v>Post-COVID</v>
      </c>
    </row>
    <row r="25" spans="1:31" x14ac:dyDescent="0.35">
      <c r="A25" s="28">
        <v>43770</v>
      </c>
      <c r="B25" s="1">
        <v>148.6</v>
      </c>
      <c r="C25" s="1">
        <v>146.58333333333334</v>
      </c>
      <c r="D25" s="1">
        <v>149.9</v>
      </c>
      <c r="E25" s="1">
        <v>126.6</v>
      </c>
      <c r="F25" s="1">
        <v>142.30000000000001</v>
      </c>
      <c r="G25" s="1">
        <v>140.30000000000001</v>
      </c>
      <c r="H25" s="1">
        <v>153.5</v>
      </c>
      <c r="I25" s="1">
        <v>167.9</v>
      </c>
      <c r="J25" s="1">
        <v>155.5</v>
      </c>
      <c r="L25" s="67">
        <v>44105</v>
      </c>
      <c r="M25" s="47">
        <v>156.4</v>
      </c>
      <c r="N25" s="68">
        <f t="shared" si="11"/>
        <v>6.2500000000000222E-2</v>
      </c>
      <c r="O25" s="69">
        <v>157.26666666666668</v>
      </c>
      <c r="P25" s="68">
        <f t="shared" si="12"/>
        <v>8.7096774193548443E-2</v>
      </c>
      <c r="Q25" s="69">
        <v>156.30000000000001</v>
      </c>
      <c r="R25" s="68">
        <f t="shared" si="18"/>
        <v>4.6184738955823423E-2</v>
      </c>
      <c r="S25" s="69">
        <v>140.6</v>
      </c>
      <c r="T25" s="68">
        <f t="shared" si="13"/>
        <v>0.11322248614410135</v>
      </c>
      <c r="U25" s="72">
        <v>143.1</v>
      </c>
      <c r="V25" s="68">
        <f t="shared" si="19"/>
        <v>1.7780938833570348E-2</v>
      </c>
      <c r="W25" s="72">
        <v>157</v>
      </c>
      <c r="X25" s="68">
        <f t="shared" si="14"/>
        <v>0.12142857142857144</v>
      </c>
      <c r="Y25" s="72">
        <v>156.5</v>
      </c>
      <c r="Z25" s="68">
        <f t="shared" si="15"/>
        <v>2.2875816993463971E-2</v>
      </c>
      <c r="AA25" s="72">
        <v>184.3</v>
      </c>
      <c r="AB25" s="68">
        <f t="shared" si="16"/>
        <v>0.10293237582286063</v>
      </c>
      <c r="AC25" s="72">
        <v>158.5</v>
      </c>
      <c r="AD25" s="68">
        <f t="shared" si="17"/>
        <v>1.9948519948519872E-2</v>
      </c>
      <c r="AE25" s="47" t="str">
        <f t="shared" si="0"/>
        <v>Post-COVID</v>
      </c>
    </row>
    <row r="26" spans="1:31" x14ac:dyDescent="0.35">
      <c r="A26" s="28">
        <v>43800</v>
      </c>
      <c r="B26" s="1">
        <v>150.4</v>
      </c>
      <c r="C26" s="1">
        <v>149.25833333333335</v>
      </c>
      <c r="D26" s="1">
        <v>150.4</v>
      </c>
      <c r="E26" s="1">
        <v>129.80000000000001</v>
      </c>
      <c r="F26" s="1">
        <v>143.69999999999999</v>
      </c>
      <c r="G26" s="1">
        <v>140.4</v>
      </c>
      <c r="H26" s="1">
        <v>152.80000000000001</v>
      </c>
      <c r="I26" s="1">
        <v>168.5</v>
      </c>
      <c r="J26" s="1">
        <v>155.69999999999999</v>
      </c>
      <c r="L26" s="67">
        <v>44136</v>
      </c>
      <c r="M26" s="47">
        <v>158.4</v>
      </c>
      <c r="N26" s="68">
        <f t="shared" si="11"/>
        <v>6.5948855989232946E-2</v>
      </c>
      <c r="O26" s="69">
        <v>160.90833333333333</v>
      </c>
      <c r="P26" s="68">
        <f t="shared" si="12"/>
        <v>9.772598067083571E-2</v>
      </c>
      <c r="Q26" s="69">
        <v>157.19999999999999</v>
      </c>
      <c r="R26" s="68">
        <f t="shared" si="18"/>
        <v>4.8699132755170016E-2</v>
      </c>
      <c r="S26" s="69">
        <v>140.4</v>
      </c>
      <c r="T26" s="68">
        <f t="shared" si="13"/>
        <v>0.10900473933649302</v>
      </c>
      <c r="U26" s="72">
        <v>143.6</v>
      </c>
      <c r="V26" s="68">
        <f t="shared" si="19"/>
        <v>9.1356289529163082E-3</v>
      </c>
      <c r="W26" s="72">
        <v>156.9</v>
      </c>
      <c r="X26" s="68">
        <f t="shared" si="14"/>
        <v>0.11831789023521022</v>
      </c>
      <c r="Y26" s="72">
        <v>158</v>
      </c>
      <c r="Z26" s="68">
        <f t="shared" si="15"/>
        <v>2.931596091205213E-2</v>
      </c>
      <c r="AA26" s="72">
        <v>184.8</v>
      </c>
      <c r="AB26" s="68">
        <f t="shared" si="16"/>
        <v>0.10065515187611673</v>
      </c>
      <c r="AC26" s="72">
        <v>158.6</v>
      </c>
      <c r="AD26" s="68">
        <f t="shared" si="17"/>
        <v>1.9935691318327953E-2</v>
      </c>
      <c r="AE26" s="47" t="str">
        <f t="shared" si="0"/>
        <v>Post-COVID</v>
      </c>
    </row>
    <row r="27" spans="1:31" x14ac:dyDescent="0.35">
      <c r="A27" s="28">
        <v>43831</v>
      </c>
      <c r="B27" s="1">
        <v>150.19999999999999</v>
      </c>
      <c r="C27" s="1">
        <v>148.90833333333333</v>
      </c>
      <c r="D27" s="1">
        <v>151.19999999999999</v>
      </c>
      <c r="E27" s="1">
        <v>130.9</v>
      </c>
      <c r="F27" s="1">
        <v>144.6</v>
      </c>
      <c r="G27" s="1">
        <v>142.30000000000001</v>
      </c>
      <c r="H27" s="1">
        <v>153.9</v>
      </c>
      <c r="I27" s="1">
        <v>169.2</v>
      </c>
      <c r="J27" s="1">
        <v>156.1</v>
      </c>
      <c r="L27" s="67">
        <v>44166</v>
      </c>
      <c r="M27" s="47">
        <v>158.9</v>
      </c>
      <c r="N27" s="68">
        <f t="shared" si="11"/>
        <v>5.6515957446808596E-2</v>
      </c>
      <c r="O27" s="69">
        <v>161.97499999999999</v>
      </c>
      <c r="P27" s="68">
        <f t="shared" si="12"/>
        <v>8.5199039696275847E-2</v>
      </c>
      <c r="Q27" s="69">
        <v>158.30000000000001</v>
      </c>
      <c r="R27" s="68">
        <f t="shared" si="18"/>
        <v>5.2526595744680993E-2</v>
      </c>
      <c r="S27" s="69">
        <v>140.69999999999999</v>
      </c>
      <c r="T27" s="68">
        <f t="shared" si="13"/>
        <v>8.397534668721085E-2</v>
      </c>
      <c r="U27" s="72">
        <v>144.6</v>
      </c>
      <c r="V27" s="68">
        <f t="shared" si="19"/>
        <v>6.2630480167014113E-3</v>
      </c>
      <c r="W27" s="72">
        <v>157.1</v>
      </c>
      <c r="X27" s="68">
        <f t="shared" si="14"/>
        <v>0.11894586894586889</v>
      </c>
      <c r="Y27" s="72">
        <v>158.4</v>
      </c>
      <c r="Z27" s="68">
        <f t="shared" si="15"/>
        <v>3.6649214659685736E-2</v>
      </c>
      <c r="AA27" s="72">
        <v>185.4</v>
      </c>
      <c r="AB27" s="68">
        <f t="shared" si="16"/>
        <v>0.10029673590504462</v>
      </c>
      <c r="AC27" s="72">
        <v>159.4</v>
      </c>
      <c r="AD27" s="68">
        <f t="shared" si="17"/>
        <v>2.3763648041104757E-2</v>
      </c>
      <c r="AE27" s="47" t="str">
        <f t="shared" si="0"/>
        <v>Post-COVID</v>
      </c>
    </row>
    <row r="28" spans="1:31" x14ac:dyDescent="0.35">
      <c r="A28" s="28">
        <v>43862</v>
      </c>
      <c r="B28" s="1">
        <v>149.1</v>
      </c>
      <c r="C28" s="1">
        <v>146.75833333333333</v>
      </c>
      <c r="D28" s="1">
        <v>151.69999999999999</v>
      </c>
      <c r="E28" s="1">
        <v>130.30000000000001</v>
      </c>
      <c r="F28" s="1">
        <v>147.19999999999999</v>
      </c>
      <c r="G28" s="1">
        <v>143.4</v>
      </c>
      <c r="H28" s="1">
        <v>154.80000000000001</v>
      </c>
      <c r="I28" s="1">
        <v>170.1</v>
      </c>
      <c r="J28" s="1">
        <v>156.19999999999999</v>
      </c>
      <c r="L28" s="67">
        <v>44197</v>
      </c>
      <c r="M28" s="47">
        <v>157.30000000000001</v>
      </c>
      <c r="N28" s="68">
        <f t="shared" si="11"/>
        <v>4.7270306258322403E-2</v>
      </c>
      <c r="O28" s="69">
        <v>159.62499999999997</v>
      </c>
      <c r="P28" s="68">
        <f t="shared" si="12"/>
        <v>7.1968213106497148E-2</v>
      </c>
      <c r="Q28" s="69">
        <v>159.30000000000001</v>
      </c>
      <c r="R28" s="68">
        <f t="shared" si="18"/>
        <v>5.3571428571428825E-2</v>
      </c>
      <c r="S28" s="69">
        <v>141.9</v>
      </c>
      <c r="T28" s="68">
        <f t="shared" si="13"/>
        <v>8.4033613445378075E-2</v>
      </c>
      <c r="U28" s="72">
        <v>147.9</v>
      </c>
      <c r="V28" s="68">
        <f t="shared" si="19"/>
        <v>2.2821576763485618E-2</v>
      </c>
      <c r="W28" s="72">
        <v>156.80000000000001</v>
      </c>
      <c r="X28" s="68">
        <f t="shared" si="14"/>
        <v>0.1018973998594519</v>
      </c>
      <c r="Y28" s="72">
        <v>157.69999999999999</v>
      </c>
      <c r="Z28" s="68">
        <f t="shared" si="15"/>
        <v>2.4691358024691246E-2</v>
      </c>
      <c r="AA28" s="72">
        <v>186.5</v>
      </c>
      <c r="AB28" s="68">
        <f t="shared" si="16"/>
        <v>0.10224586288416093</v>
      </c>
      <c r="AC28" s="72">
        <v>159.19999999999999</v>
      </c>
      <c r="AD28" s="68">
        <f t="shared" si="17"/>
        <v>1.985906470211396E-2</v>
      </c>
      <c r="AE28" s="47" t="str">
        <f t="shared" si="0"/>
        <v>Post-COVID</v>
      </c>
    </row>
    <row r="29" spans="1:31" x14ac:dyDescent="0.35">
      <c r="A29" s="28">
        <v>43891</v>
      </c>
      <c r="B29" s="1">
        <v>148.6</v>
      </c>
      <c r="C29" s="1">
        <v>145.54166666666666</v>
      </c>
      <c r="D29" s="1">
        <v>152.30000000000001</v>
      </c>
      <c r="E29" s="1">
        <v>129.9</v>
      </c>
      <c r="F29" s="1">
        <v>148.9</v>
      </c>
      <c r="G29" s="1">
        <v>145.19999999999999</v>
      </c>
      <c r="H29" s="1">
        <v>154.5</v>
      </c>
      <c r="I29" s="1">
        <v>171.2</v>
      </c>
      <c r="J29" s="1">
        <v>156.1</v>
      </c>
      <c r="L29" s="67">
        <v>44228</v>
      </c>
      <c r="M29" s="47">
        <v>156.6</v>
      </c>
      <c r="N29" s="68">
        <f t="shared" si="11"/>
        <v>5.0301810865191143E-2</v>
      </c>
      <c r="O29" s="69">
        <v>156.86666666666667</v>
      </c>
      <c r="P29" s="68">
        <f t="shared" si="12"/>
        <v>6.887740616660043E-2</v>
      </c>
      <c r="Q29" s="69">
        <v>161.30000000000001</v>
      </c>
      <c r="R29" s="68">
        <f t="shared" si="18"/>
        <v>6.3282794990112246E-2</v>
      </c>
      <c r="S29" s="69">
        <v>145.1</v>
      </c>
      <c r="T29" s="68">
        <f t="shared" si="13"/>
        <v>0.11358403683806584</v>
      </c>
      <c r="U29" s="72">
        <v>152.4</v>
      </c>
      <c r="V29" s="68">
        <f t="shared" si="19"/>
        <v>3.5326086956521952E-2</v>
      </c>
      <c r="W29" s="72">
        <v>155.80000000000001</v>
      </c>
      <c r="X29" s="68">
        <f t="shared" si="14"/>
        <v>8.6471408647140979E-2</v>
      </c>
      <c r="Y29" s="72">
        <v>159.80000000000001</v>
      </c>
      <c r="Z29" s="68">
        <f t="shared" si="15"/>
        <v>3.2299741602067167E-2</v>
      </c>
      <c r="AA29" s="72">
        <v>188.3</v>
      </c>
      <c r="AB29" s="68">
        <f t="shared" si="16"/>
        <v>0.10699588477366273</v>
      </c>
      <c r="AC29" s="72">
        <v>159.5</v>
      </c>
      <c r="AD29" s="68">
        <f t="shared" si="17"/>
        <v>2.1126760563380254E-2</v>
      </c>
      <c r="AE29" s="47" t="str">
        <f t="shared" si="0"/>
        <v>Post-COVID</v>
      </c>
    </row>
    <row r="30" spans="1:31" x14ac:dyDescent="0.35">
      <c r="A30" s="28">
        <v>43922</v>
      </c>
      <c r="B30" s="1">
        <v>149.66666666666666</v>
      </c>
      <c r="C30" s="1">
        <v>150.6</v>
      </c>
      <c r="D30" s="1">
        <v>150.69999999999999</v>
      </c>
      <c r="E30" s="1">
        <v>131.6</v>
      </c>
      <c r="F30" s="1">
        <v>144.1</v>
      </c>
      <c r="G30" s="1">
        <v>147.33333333333331</v>
      </c>
      <c r="H30" s="1">
        <v>155.6</v>
      </c>
      <c r="I30" s="1">
        <v>175.3</v>
      </c>
      <c r="J30" s="1">
        <v>156.19999999999999</v>
      </c>
      <c r="L30" s="67">
        <v>44256</v>
      </c>
      <c r="M30" s="47">
        <v>156.80000000000001</v>
      </c>
      <c r="N30" s="68">
        <f t="shared" si="11"/>
        <v>5.5181695827725585E-2</v>
      </c>
      <c r="O30" s="69">
        <v>156.89166666666665</v>
      </c>
      <c r="P30" s="68">
        <f t="shared" si="12"/>
        <v>7.7984540509590472E-2</v>
      </c>
      <c r="Q30" s="69">
        <v>161.69999999999999</v>
      </c>
      <c r="R30" s="68">
        <f t="shared" si="18"/>
        <v>6.1720288903479803E-2</v>
      </c>
      <c r="S30" s="69">
        <v>146.19999999999999</v>
      </c>
      <c r="T30" s="68">
        <f t="shared" si="13"/>
        <v>0.12548113933795224</v>
      </c>
      <c r="U30" s="72">
        <v>155.5</v>
      </c>
      <c r="V30" s="68">
        <f t="shared" si="19"/>
        <v>4.4325050369375285E-2</v>
      </c>
      <c r="W30" s="72">
        <v>153.80000000000001</v>
      </c>
      <c r="X30" s="68">
        <f t="shared" si="14"/>
        <v>5.9228650137741257E-2</v>
      </c>
      <c r="Y30" s="72">
        <v>159.9</v>
      </c>
      <c r="Z30" s="68">
        <f t="shared" si="15"/>
        <v>3.4951456310679641E-2</v>
      </c>
      <c r="AA30" s="72">
        <v>188.1</v>
      </c>
      <c r="AB30" s="68">
        <f t="shared" si="16"/>
        <v>9.8714953271028083E-2</v>
      </c>
      <c r="AC30" s="72">
        <v>160.19999999999999</v>
      </c>
      <c r="AD30" s="68">
        <f t="shared" si="17"/>
        <v>2.6265214606021825E-2</v>
      </c>
      <c r="AE30" s="47" t="str">
        <f t="shared" si="0"/>
        <v>Post-COVID</v>
      </c>
    </row>
    <row r="31" spans="1:31" x14ac:dyDescent="0.35">
      <c r="A31" s="28">
        <v>43952</v>
      </c>
      <c r="B31" s="1">
        <v>150.73333333333332</v>
      </c>
      <c r="C31" s="1">
        <v>150.83333333333331</v>
      </c>
      <c r="D31" s="1">
        <v>152.55000000000001</v>
      </c>
      <c r="E31" s="1">
        <v>133.30000000000001</v>
      </c>
      <c r="F31" s="1">
        <v>143</v>
      </c>
      <c r="G31" s="1">
        <v>149.46666666666664</v>
      </c>
      <c r="H31" s="1">
        <v>155.15</v>
      </c>
      <c r="I31" s="1">
        <v>179.4</v>
      </c>
      <c r="J31" s="1">
        <v>156.27000000000001</v>
      </c>
      <c r="L31" s="67">
        <v>44287</v>
      </c>
      <c r="M31" s="47">
        <v>157.80000000000001</v>
      </c>
      <c r="N31" s="68">
        <f t="shared" si="11"/>
        <v>5.4342984409799788E-2</v>
      </c>
      <c r="O31" s="69">
        <v>158.84166666666667</v>
      </c>
      <c r="P31" s="68">
        <f t="shared" si="12"/>
        <v>5.4725542275343209E-2</v>
      </c>
      <c r="Q31" s="69">
        <v>162.30000000000001</v>
      </c>
      <c r="R31" s="68">
        <f t="shared" si="18"/>
        <v>7.6974120769741416E-2</v>
      </c>
      <c r="S31" s="69">
        <v>146.6</v>
      </c>
      <c r="T31" s="68">
        <f t="shared" si="13"/>
        <v>0.11398176291793316</v>
      </c>
      <c r="U31" s="72">
        <v>155.6</v>
      </c>
      <c r="V31" s="68">
        <f t="shared" si="19"/>
        <v>7.9805690492713355E-2</v>
      </c>
      <c r="W31" s="72">
        <v>155.4</v>
      </c>
      <c r="X31" s="68">
        <f t="shared" si="14"/>
        <v>5.4751131221719707E-2</v>
      </c>
      <c r="Y31" s="72">
        <v>161.4</v>
      </c>
      <c r="Z31" s="68">
        <f t="shared" si="15"/>
        <v>3.7275064267352276E-2</v>
      </c>
      <c r="AA31" s="72">
        <v>188.8</v>
      </c>
      <c r="AB31" s="68">
        <f t="shared" si="16"/>
        <v>7.7010838562464379E-2</v>
      </c>
      <c r="AC31" s="72">
        <v>160.30000000000001</v>
      </c>
      <c r="AD31" s="68">
        <f t="shared" si="17"/>
        <v>2.6248399487836194E-2</v>
      </c>
      <c r="AE31" s="47" t="str">
        <f t="shared" si="0"/>
        <v>Post-COVID</v>
      </c>
    </row>
    <row r="32" spans="1:31" x14ac:dyDescent="0.35">
      <c r="A32" s="28">
        <v>43983</v>
      </c>
      <c r="B32" s="1">
        <v>151.80000000000001</v>
      </c>
      <c r="C32" s="1">
        <v>151.06666666666669</v>
      </c>
      <c r="D32" s="1">
        <v>154.4</v>
      </c>
      <c r="E32" s="1">
        <v>135</v>
      </c>
      <c r="F32" s="1">
        <v>141.9</v>
      </c>
      <c r="G32" s="1">
        <v>151.6</v>
      </c>
      <c r="H32" s="1">
        <v>154.69999999999999</v>
      </c>
      <c r="I32" s="1">
        <v>183.5</v>
      </c>
      <c r="J32" s="1">
        <v>156.4</v>
      </c>
      <c r="L32" s="67">
        <v>44317</v>
      </c>
      <c r="M32" s="47">
        <v>160.4</v>
      </c>
      <c r="N32" s="68">
        <f t="shared" si="11"/>
        <v>6.4130915524104548E-2</v>
      </c>
      <c r="O32" s="69">
        <v>162.08333333333334</v>
      </c>
      <c r="P32" s="68">
        <f t="shared" si="12"/>
        <v>7.4585635359116109E-2</v>
      </c>
      <c r="Q32" s="69">
        <v>165.8</v>
      </c>
      <c r="R32" s="68">
        <f t="shared" si="18"/>
        <v>8.6856768272697504E-2</v>
      </c>
      <c r="S32" s="69">
        <v>148.9</v>
      </c>
      <c r="T32" s="68">
        <f t="shared" si="13"/>
        <v>0.11702925731432856</v>
      </c>
      <c r="U32" s="72">
        <v>159.4</v>
      </c>
      <c r="V32" s="68">
        <f t="shared" si="19"/>
        <v>0.11468531468531462</v>
      </c>
      <c r="W32" s="72">
        <v>158.6</v>
      </c>
      <c r="X32" s="68">
        <f t="shared" si="14"/>
        <v>6.1106155218555003E-2</v>
      </c>
      <c r="Y32" s="72">
        <v>161.6</v>
      </c>
      <c r="Z32" s="68">
        <f t="shared" si="15"/>
        <v>4.1572671608121059E-2</v>
      </c>
      <c r="AA32" s="72">
        <v>191.9</v>
      </c>
      <c r="AB32" s="68">
        <f t="shared" si="16"/>
        <v>6.9676700111482637E-2</v>
      </c>
      <c r="AC32" s="72">
        <v>161.19999999999999</v>
      </c>
      <c r="AD32" s="68">
        <f t="shared" si="17"/>
        <v>3.1547961860881601E-2</v>
      </c>
      <c r="AE32" s="47" t="str">
        <f t="shared" si="0"/>
        <v>Post-COVID</v>
      </c>
    </row>
    <row r="33" spans="1:31" x14ac:dyDescent="0.35">
      <c r="A33" s="28">
        <v>44013</v>
      </c>
      <c r="B33" s="1">
        <v>151.80000000000001</v>
      </c>
      <c r="C33" s="1">
        <v>151.06666666666669</v>
      </c>
      <c r="D33" s="1">
        <v>154.4</v>
      </c>
      <c r="E33" s="1">
        <v>135</v>
      </c>
      <c r="F33" s="1">
        <v>141.9</v>
      </c>
      <c r="G33" s="1">
        <v>151.6</v>
      </c>
      <c r="H33" s="1">
        <v>154.69999999999999</v>
      </c>
      <c r="I33" s="1">
        <v>183.5</v>
      </c>
      <c r="J33" s="1">
        <v>156.4</v>
      </c>
      <c r="L33" s="67">
        <v>44348</v>
      </c>
      <c r="M33" s="47">
        <v>161.30000000000001</v>
      </c>
      <c r="N33" s="68">
        <f t="shared" si="11"/>
        <v>6.2582345191040778E-2</v>
      </c>
      <c r="O33" s="69">
        <v>164.27500000000001</v>
      </c>
      <c r="P33" s="68">
        <f t="shared" si="12"/>
        <v>8.743380406001755E-2</v>
      </c>
      <c r="Q33" s="69">
        <v>166.3</v>
      </c>
      <c r="R33" s="68">
        <f t="shared" si="18"/>
        <v>7.7072538860103679E-2</v>
      </c>
      <c r="S33" s="69">
        <v>150.69999999999999</v>
      </c>
      <c r="T33" s="68">
        <f t="shared" si="13"/>
        <v>0.11629629629629612</v>
      </c>
      <c r="U33" s="72">
        <v>159.80000000000001</v>
      </c>
      <c r="V33" s="68">
        <f t="shared" si="19"/>
        <v>0.12614517265680059</v>
      </c>
      <c r="W33" s="72">
        <v>158.80000000000001</v>
      </c>
      <c r="X33" s="68">
        <f t="shared" si="14"/>
        <v>4.7493403693931402E-2</v>
      </c>
      <c r="Y33" s="72">
        <v>160.5</v>
      </c>
      <c r="Z33" s="68">
        <f t="shared" si="15"/>
        <v>3.749191984486111E-2</v>
      </c>
      <c r="AA33" s="72">
        <v>190.8</v>
      </c>
      <c r="AB33" s="68">
        <f t="shared" si="16"/>
        <v>3.9782016348773874E-2</v>
      </c>
      <c r="AC33" s="72">
        <v>161.69999999999999</v>
      </c>
      <c r="AD33" s="68">
        <f t="shared" si="17"/>
        <v>3.3887468030690426E-2</v>
      </c>
      <c r="AE33" s="47" t="str">
        <f t="shared" si="0"/>
        <v>Post-COVID</v>
      </c>
    </row>
    <row r="34" spans="1:31" x14ac:dyDescent="0.35">
      <c r="A34" s="28">
        <v>44044</v>
      </c>
      <c r="B34" s="1">
        <v>153.9</v>
      </c>
      <c r="C34" s="1">
        <v>153.18333333333331</v>
      </c>
      <c r="D34" s="1">
        <v>155</v>
      </c>
      <c r="E34" s="1">
        <v>138.5</v>
      </c>
      <c r="F34" s="1">
        <v>143</v>
      </c>
      <c r="G34" s="1">
        <v>154.30000000000001</v>
      </c>
      <c r="H34" s="1">
        <v>155.5</v>
      </c>
      <c r="I34" s="1">
        <v>182.6</v>
      </c>
      <c r="J34" s="1">
        <v>158.5</v>
      </c>
      <c r="L34" s="67">
        <v>44378</v>
      </c>
      <c r="M34" s="47">
        <v>162.5</v>
      </c>
      <c r="N34" s="68">
        <f t="shared" si="11"/>
        <v>7.0487483530961681E-2</v>
      </c>
      <c r="O34" s="69">
        <v>165.25000000000003</v>
      </c>
      <c r="P34" s="68">
        <f t="shared" si="12"/>
        <v>9.3887908208296622E-2</v>
      </c>
      <c r="Q34" s="69">
        <v>167</v>
      </c>
      <c r="R34" s="68">
        <f t="shared" si="18"/>
        <v>8.1606217616580379E-2</v>
      </c>
      <c r="S34" s="69">
        <v>153.1</v>
      </c>
      <c r="T34" s="68">
        <f t="shared" si="13"/>
        <v>0.13407407407407401</v>
      </c>
      <c r="U34" s="72">
        <v>160.69999999999999</v>
      </c>
      <c r="V34" s="68">
        <f t="shared" si="19"/>
        <v>0.13248766737138817</v>
      </c>
      <c r="W34" s="72">
        <v>160.1</v>
      </c>
      <c r="X34" s="68">
        <f t="shared" si="14"/>
        <v>5.6068601583113553E-2</v>
      </c>
      <c r="Y34" s="72">
        <v>161.5</v>
      </c>
      <c r="Z34" s="68">
        <f t="shared" si="15"/>
        <v>4.3956043956044022E-2</v>
      </c>
      <c r="AA34" s="72">
        <v>191.2</v>
      </c>
      <c r="AB34" s="68">
        <f t="shared" si="16"/>
        <v>4.1961852861035265E-2</v>
      </c>
      <c r="AC34" s="72">
        <v>163.19999999999999</v>
      </c>
      <c r="AD34" s="68">
        <f t="shared" si="17"/>
        <v>4.3478260869565188E-2</v>
      </c>
      <c r="AE34" s="47" t="str">
        <f t="shared" si="0"/>
        <v>Post-COVID</v>
      </c>
    </row>
    <row r="35" spans="1:31" x14ac:dyDescent="0.35">
      <c r="A35" s="28">
        <v>44075</v>
      </c>
      <c r="B35" s="1">
        <v>154.69999999999999</v>
      </c>
      <c r="C35" s="1">
        <v>154.08333333333334</v>
      </c>
      <c r="D35" s="1">
        <v>155.6</v>
      </c>
      <c r="E35" s="1">
        <v>139.6</v>
      </c>
      <c r="F35" s="1">
        <v>142.9</v>
      </c>
      <c r="G35" s="1">
        <v>158.4</v>
      </c>
      <c r="H35" s="1">
        <v>156.30000000000001</v>
      </c>
      <c r="I35" s="1">
        <v>184.4</v>
      </c>
      <c r="J35" s="1">
        <v>157.5</v>
      </c>
      <c r="L35" s="67">
        <v>44409</v>
      </c>
      <c r="M35" s="47">
        <v>163.19999999999999</v>
      </c>
      <c r="N35" s="68">
        <f t="shared" si="11"/>
        <v>6.0428849902534054E-2</v>
      </c>
      <c r="O35" s="69">
        <v>164.83333333333334</v>
      </c>
      <c r="P35" s="68">
        <f t="shared" si="12"/>
        <v>7.6052660211076262E-2</v>
      </c>
      <c r="Q35" s="69">
        <v>168.4</v>
      </c>
      <c r="R35" s="68">
        <f t="shared" si="18"/>
        <v>8.6451612903225783E-2</v>
      </c>
      <c r="S35" s="69">
        <v>154</v>
      </c>
      <c r="T35" s="68">
        <f t="shared" si="13"/>
        <v>0.11191335740072206</v>
      </c>
      <c r="U35" s="72">
        <v>162.6</v>
      </c>
      <c r="V35" s="68">
        <f t="shared" si="19"/>
        <v>0.13706293706293704</v>
      </c>
      <c r="W35" s="72">
        <v>160</v>
      </c>
      <c r="X35" s="68">
        <f t="shared" si="14"/>
        <v>3.6941023979261134E-2</v>
      </c>
      <c r="Y35" s="72">
        <v>162.1</v>
      </c>
      <c r="Z35" s="68">
        <f t="shared" si="15"/>
        <v>4.2443729903536953E-2</v>
      </c>
      <c r="AA35" s="72">
        <v>192.1</v>
      </c>
      <c r="AB35" s="68">
        <f t="shared" si="16"/>
        <v>5.2026286966045943E-2</v>
      </c>
      <c r="AC35" s="72">
        <v>163.80000000000001</v>
      </c>
      <c r="AD35" s="68">
        <f t="shared" si="17"/>
        <v>3.3438485804416551E-2</v>
      </c>
      <c r="AE35" s="47" t="str">
        <f t="shared" si="0"/>
        <v>Post-COVID</v>
      </c>
    </row>
    <row r="36" spans="1:31" x14ac:dyDescent="0.35">
      <c r="A36" s="28">
        <v>44105</v>
      </c>
      <c r="B36" s="1">
        <v>156.4</v>
      </c>
      <c r="C36" s="1">
        <v>157.26666666666668</v>
      </c>
      <c r="D36" s="1">
        <v>156.30000000000001</v>
      </c>
      <c r="E36" s="1">
        <v>140.6</v>
      </c>
      <c r="F36" s="1">
        <v>143.1</v>
      </c>
      <c r="G36" s="1">
        <v>157</v>
      </c>
      <c r="H36" s="1">
        <v>156.5</v>
      </c>
      <c r="I36" s="1">
        <v>184.3</v>
      </c>
      <c r="J36" s="1">
        <v>158.5</v>
      </c>
      <c r="L36" s="67">
        <v>44440</v>
      </c>
      <c r="M36" s="47">
        <v>163.19999999999999</v>
      </c>
      <c r="N36" s="68">
        <f t="shared" si="11"/>
        <v>5.4945054945054972E-2</v>
      </c>
      <c r="O36" s="69">
        <v>164.83333333333334</v>
      </c>
      <c r="P36" s="68">
        <f t="shared" si="12"/>
        <v>6.9767441860465018E-2</v>
      </c>
      <c r="Q36" s="69">
        <v>168.4</v>
      </c>
      <c r="R36" s="68">
        <f t="shared" si="18"/>
        <v>8.2262210796915314E-2</v>
      </c>
      <c r="S36" s="69">
        <v>154</v>
      </c>
      <c r="T36" s="68">
        <f t="shared" si="13"/>
        <v>0.1031518624641834</v>
      </c>
      <c r="U36" s="72">
        <v>162.6</v>
      </c>
      <c r="V36" s="68">
        <f t="shared" si="19"/>
        <v>0.13785864240727763</v>
      </c>
      <c r="W36" s="72">
        <v>160</v>
      </c>
      <c r="X36" s="68">
        <f t="shared" si="14"/>
        <v>1.0101010101010166E-2</v>
      </c>
      <c r="Y36" s="72">
        <v>162.1</v>
      </c>
      <c r="Z36" s="68">
        <f t="shared" si="15"/>
        <v>3.7108125399871961E-2</v>
      </c>
      <c r="AA36" s="72">
        <v>192.1</v>
      </c>
      <c r="AB36" s="68">
        <f t="shared" si="16"/>
        <v>4.1757049891540055E-2</v>
      </c>
      <c r="AC36" s="72">
        <v>163.69999999999999</v>
      </c>
      <c r="AD36" s="68">
        <f t="shared" si="17"/>
        <v>3.936507936507927E-2</v>
      </c>
      <c r="AE36" s="47" t="str">
        <f t="shared" si="0"/>
        <v>Post-COVID</v>
      </c>
    </row>
    <row r="37" spans="1:31" x14ac:dyDescent="0.35">
      <c r="A37" s="28">
        <v>44136</v>
      </c>
      <c r="B37" s="1">
        <v>158.4</v>
      </c>
      <c r="C37" s="1">
        <v>160.90833333333333</v>
      </c>
      <c r="D37" s="1">
        <v>157.19999999999999</v>
      </c>
      <c r="E37" s="1">
        <v>140.4</v>
      </c>
      <c r="F37" s="1">
        <v>143.6</v>
      </c>
      <c r="G37" s="1">
        <v>156.9</v>
      </c>
      <c r="H37" s="1">
        <v>158</v>
      </c>
      <c r="I37" s="1">
        <v>184.8</v>
      </c>
      <c r="J37" s="1">
        <v>158.6</v>
      </c>
      <c r="L37" s="67">
        <v>44470</v>
      </c>
      <c r="M37" s="47">
        <v>165.5</v>
      </c>
      <c r="N37" s="68">
        <f t="shared" si="11"/>
        <v>5.8184143222506313E-2</v>
      </c>
      <c r="O37" s="69">
        <v>167.31666666666669</v>
      </c>
      <c r="P37" s="68">
        <f t="shared" si="12"/>
        <v>6.3904196693514326E-2</v>
      </c>
      <c r="Q37" s="69">
        <v>169.1</v>
      </c>
      <c r="R37" s="68">
        <f t="shared" si="18"/>
        <v>8.1893793985924335E-2</v>
      </c>
      <c r="S37" s="69">
        <v>155.69999999999999</v>
      </c>
      <c r="T37" s="68">
        <f t="shared" si="13"/>
        <v>0.10739687055476521</v>
      </c>
      <c r="U37" s="72">
        <v>164.2</v>
      </c>
      <c r="V37" s="68">
        <f t="shared" si="19"/>
        <v>0.14744933612858135</v>
      </c>
      <c r="W37" s="72">
        <v>160.80000000000001</v>
      </c>
      <c r="X37" s="68">
        <f t="shared" si="14"/>
        <v>2.420382165605095E-2</v>
      </c>
      <c r="Y37" s="72">
        <v>163.6</v>
      </c>
      <c r="Z37" s="68">
        <f t="shared" si="15"/>
        <v>4.5367412140574936E-2</v>
      </c>
      <c r="AA37" s="72">
        <v>192.7</v>
      </c>
      <c r="AB37" s="68">
        <f t="shared" si="16"/>
        <v>4.557786218122617E-2</v>
      </c>
      <c r="AC37" s="72">
        <v>163.9</v>
      </c>
      <c r="AD37" s="68">
        <f t="shared" si="17"/>
        <v>3.4069400630914792E-2</v>
      </c>
      <c r="AE37" s="47" t="str">
        <f t="shared" ref="AE37:AE56" si="20">IF(L37&lt;DATE(2020,3,1),"Pre-COVID",IF(L37=DATE(2020,3,1),"COVID Onset",IF(L37&lt;=DATE(2020,5,31),"Lockdown","Post-COVID")))</f>
        <v>Post-COVID</v>
      </c>
    </row>
    <row r="38" spans="1:31" x14ac:dyDescent="0.35">
      <c r="A38" s="28">
        <v>44166</v>
      </c>
      <c r="B38" s="1">
        <v>158.9</v>
      </c>
      <c r="C38" s="1">
        <v>161.97499999999999</v>
      </c>
      <c r="D38" s="1">
        <v>158.30000000000001</v>
      </c>
      <c r="E38" s="1">
        <v>140.69999999999999</v>
      </c>
      <c r="F38" s="1">
        <v>144.6</v>
      </c>
      <c r="G38" s="1">
        <v>157.1</v>
      </c>
      <c r="H38" s="1">
        <v>158.4</v>
      </c>
      <c r="I38" s="1">
        <v>185.4</v>
      </c>
      <c r="J38" s="1">
        <v>159.4</v>
      </c>
      <c r="L38" s="67">
        <v>44501</v>
      </c>
      <c r="M38" s="47">
        <v>166.7</v>
      </c>
      <c r="N38" s="68">
        <f t="shared" si="11"/>
        <v>5.2398989898989834E-2</v>
      </c>
      <c r="O38" s="69">
        <v>168.7</v>
      </c>
      <c r="P38" s="68">
        <f t="shared" si="12"/>
        <v>4.8423015174271056E-2</v>
      </c>
      <c r="Q38" s="69">
        <v>169.9</v>
      </c>
      <c r="R38" s="68">
        <f t="shared" si="18"/>
        <v>8.0788804071247E-2</v>
      </c>
      <c r="S38" s="69">
        <v>154.80000000000001</v>
      </c>
      <c r="T38" s="68">
        <f t="shared" si="13"/>
        <v>0.10256410256410264</v>
      </c>
      <c r="U38" s="72">
        <v>163.9</v>
      </c>
      <c r="V38" s="68">
        <f t="shared" si="19"/>
        <v>0.14136490250696387</v>
      </c>
      <c r="W38" s="72">
        <v>162.19999999999999</v>
      </c>
      <c r="X38" s="68">
        <f t="shared" si="14"/>
        <v>3.3779477374123568E-2</v>
      </c>
      <c r="Y38" s="72">
        <v>164.2</v>
      </c>
      <c r="Z38" s="68">
        <f t="shared" si="15"/>
        <v>3.9240506329113911E-2</v>
      </c>
      <c r="AA38" s="72">
        <v>192.9</v>
      </c>
      <c r="AB38" s="68">
        <f t="shared" si="16"/>
        <v>4.3831168831168776E-2</v>
      </c>
      <c r="AC38" s="72">
        <v>164.3</v>
      </c>
      <c r="AD38" s="68">
        <f t="shared" si="17"/>
        <v>3.5939470365699888E-2</v>
      </c>
      <c r="AE38" s="47" t="str">
        <f t="shared" si="20"/>
        <v>Post-COVID</v>
      </c>
    </row>
    <row r="39" spans="1:31" x14ac:dyDescent="0.35">
      <c r="A39" s="28">
        <v>44197</v>
      </c>
      <c r="B39" s="1">
        <v>157.30000000000001</v>
      </c>
      <c r="C39" s="1">
        <v>159.62499999999997</v>
      </c>
      <c r="D39" s="1">
        <v>159.30000000000001</v>
      </c>
      <c r="E39" s="1">
        <v>141.9</v>
      </c>
      <c r="F39" s="1">
        <v>147.9</v>
      </c>
      <c r="G39" s="1">
        <v>156.80000000000001</v>
      </c>
      <c r="H39" s="1">
        <v>157.69999999999999</v>
      </c>
      <c r="I39" s="1">
        <v>186.5</v>
      </c>
      <c r="J39" s="1">
        <v>159.19999999999999</v>
      </c>
      <c r="L39" s="67">
        <v>44531</v>
      </c>
      <c r="M39" s="47">
        <v>166.2</v>
      </c>
      <c r="N39" s="68">
        <f t="shared" si="11"/>
        <v>4.5940843297671341E-2</v>
      </c>
      <c r="O39" s="69">
        <v>167.72499999999999</v>
      </c>
      <c r="P39" s="68">
        <f t="shared" si="12"/>
        <v>3.5499305448371654E-2</v>
      </c>
      <c r="Q39" s="69">
        <v>170.6</v>
      </c>
      <c r="R39" s="68">
        <f t="shared" si="18"/>
        <v>7.7700568540745252E-2</v>
      </c>
      <c r="S39" s="69">
        <v>155.69999999999999</v>
      </c>
      <c r="T39" s="68">
        <f t="shared" si="13"/>
        <v>0.10660980810234544</v>
      </c>
      <c r="U39" s="72">
        <v>164.1</v>
      </c>
      <c r="V39" s="68">
        <f t="shared" si="19"/>
        <v>0.13485477178423233</v>
      </c>
      <c r="W39" s="72">
        <v>162.6</v>
      </c>
      <c r="X39" s="68">
        <f t="shared" si="14"/>
        <v>3.500954805856149E-2</v>
      </c>
      <c r="Y39" s="72">
        <v>163.4</v>
      </c>
      <c r="Z39" s="68">
        <f t="shared" si="15"/>
        <v>3.1565656565656575E-2</v>
      </c>
      <c r="AA39" s="72">
        <v>192.4</v>
      </c>
      <c r="AB39" s="68">
        <f t="shared" si="16"/>
        <v>3.7756202804746453E-2</v>
      </c>
      <c r="AC39" s="72">
        <v>164.4</v>
      </c>
      <c r="AD39" s="68">
        <f t="shared" si="17"/>
        <v>3.1367628607277265E-2</v>
      </c>
      <c r="AE39" s="47" t="str">
        <f t="shared" si="20"/>
        <v>Post-COVID</v>
      </c>
    </row>
    <row r="40" spans="1:31" x14ac:dyDescent="0.35">
      <c r="A40" s="28">
        <v>44228</v>
      </c>
      <c r="B40" s="1">
        <v>156.6</v>
      </c>
      <c r="C40" s="1">
        <v>156.86666666666667</v>
      </c>
      <c r="D40" s="1">
        <v>161.30000000000001</v>
      </c>
      <c r="E40" s="1">
        <v>145.1</v>
      </c>
      <c r="F40" s="1">
        <v>152.4</v>
      </c>
      <c r="G40" s="1">
        <v>155.80000000000001</v>
      </c>
      <c r="H40" s="1">
        <v>159.80000000000001</v>
      </c>
      <c r="I40" s="1">
        <v>188.3</v>
      </c>
      <c r="J40" s="1">
        <v>159.5</v>
      </c>
      <c r="L40" s="67">
        <v>44562</v>
      </c>
      <c r="M40" s="47">
        <v>165.7</v>
      </c>
      <c r="N40" s="68">
        <f t="shared" si="11"/>
        <v>5.3401144310235127E-2</v>
      </c>
      <c r="O40" s="69">
        <v>166.48333333333332</v>
      </c>
      <c r="P40" s="68">
        <f t="shared" si="12"/>
        <v>4.2965283215870675E-2</v>
      </c>
      <c r="Q40" s="69">
        <v>171.4</v>
      </c>
      <c r="R40" s="68">
        <f t="shared" si="18"/>
        <v>7.5957313245448743E-2</v>
      </c>
      <c r="S40" s="69">
        <v>156.5</v>
      </c>
      <c r="T40" s="68">
        <f t="shared" si="13"/>
        <v>0.10288935870331217</v>
      </c>
      <c r="U40" s="72">
        <v>164.2</v>
      </c>
      <c r="V40" s="68">
        <f t="shared" si="19"/>
        <v>0.11020960108181188</v>
      </c>
      <c r="W40" s="72">
        <v>163</v>
      </c>
      <c r="X40" s="68">
        <f t="shared" si="14"/>
        <v>3.9540816326530503E-2</v>
      </c>
      <c r="Y40" s="72">
        <v>164.5</v>
      </c>
      <c r="Z40" s="68">
        <f t="shared" si="15"/>
        <v>4.3119847812301826E-2</v>
      </c>
      <c r="AA40" s="72">
        <v>192.2</v>
      </c>
      <c r="AB40" s="68">
        <f t="shared" si="16"/>
        <v>3.0563002680965123E-2</v>
      </c>
      <c r="AC40" s="72">
        <v>164.7</v>
      </c>
      <c r="AD40" s="68">
        <f t="shared" si="17"/>
        <v>3.4547738693467389E-2</v>
      </c>
      <c r="AE40" s="47" t="str">
        <f t="shared" si="20"/>
        <v>Post-COVID</v>
      </c>
    </row>
    <row r="41" spans="1:31" x14ac:dyDescent="0.35">
      <c r="A41" s="28">
        <v>44256</v>
      </c>
      <c r="B41" s="1">
        <v>156.80000000000001</v>
      </c>
      <c r="C41" s="1">
        <v>156.89166666666665</v>
      </c>
      <c r="D41" s="1">
        <v>161.69999999999999</v>
      </c>
      <c r="E41" s="1">
        <v>146.19999999999999</v>
      </c>
      <c r="F41" s="1">
        <v>155.5</v>
      </c>
      <c r="G41" s="1">
        <v>153.80000000000001</v>
      </c>
      <c r="H41" s="1">
        <v>159.9</v>
      </c>
      <c r="I41" s="1">
        <v>188.1</v>
      </c>
      <c r="J41" s="1">
        <v>160.19999999999999</v>
      </c>
      <c r="L41" s="67">
        <v>44593</v>
      </c>
      <c r="M41" s="47">
        <v>166.1</v>
      </c>
      <c r="N41" s="68">
        <f t="shared" si="11"/>
        <v>6.0664112388250313E-2</v>
      </c>
      <c r="O41" s="69">
        <v>166.25000000000003</v>
      </c>
      <c r="P41" s="68">
        <f t="shared" si="12"/>
        <v>5.9817254568635958E-2</v>
      </c>
      <c r="Q41" s="69">
        <v>172.2</v>
      </c>
      <c r="R41" s="68">
        <f t="shared" si="18"/>
        <v>6.7575945443273167E-2</v>
      </c>
      <c r="S41" s="69">
        <v>156.9</v>
      </c>
      <c r="T41" s="68">
        <f t="shared" si="13"/>
        <v>8.1323225361819462E-2</v>
      </c>
      <c r="U41" s="72">
        <v>165.7</v>
      </c>
      <c r="V41" s="68">
        <f t="shared" si="19"/>
        <v>8.7270341207349E-2</v>
      </c>
      <c r="W41" s="72">
        <v>164.4</v>
      </c>
      <c r="X41" s="68">
        <f t="shared" si="14"/>
        <v>5.5198973042361876E-2</v>
      </c>
      <c r="Y41" s="72">
        <v>165.5</v>
      </c>
      <c r="Z41" s="68">
        <f t="shared" si="15"/>
        <v>3.5669586983729573E-2</v>
      </c>
      <c r="AA41" s="72">
        <v>192.8</v>
      </c>
      <c r="AB41" s="68">
        <f t="shared" si="16"/>
        <v>2.3898035050451405E-2</v>
      </c>
      <c r="AC41" s="72">
        <v>165.4</v>
      </c>
      <c r="AD41" s="68">
        <f t="shared" si="17"/>
        <v>3.699059561128526E-2</v>
      </c>
      <c r="AE41" s="47" t="str">
        <f t="shared" si="20"/>
        <v>Post-COVID</v>
      </c>
    </row>
    <row r="42" spans="1:31" x14ac:dyDescent="0.35">
      <c r="A42" s="28">
        <v>44287</v>
      </c>
      <c r="B42" s="1">
        <v>157.80000000000001</v>
      </c>
      <c r="C42" s="1">
        <v>158.84166666666667</v>
      </c>
      <c r="D42" s="1">
        <v>162.30000000000001</v>
      </c>
      <c r="E42" s="1">
        <v>146.6</v>
      </c>
      <c r="F42" s="1">
        <v>155.6</v>
      </c>
      <c r="G42" s="1">
        <v>155.4</v>
      </c>
      <c r="H42" s="1">
        <v>161.4</v>
      </c>
      <c r="I42" s="1">
        <v>188.8</v>
      </c>
      <c r="J42" s="1">
        <v>160.30000000000001</v>
      </c>
      <c r="L42" s="67">
        <v>44621</v>
      </c>
      <c r="M42" s="47">
        <v>167.7</v>
      </c>
      <c r="N42" s="68">
        <f t="shared" si="11"/>
        <v>6.9515306122448939E-2</v>
      </c>
      <c r="O42" s="69">
        <v>167.98333333333335</v>
      </c>
      <c r="P42" s="68">
        <f t="shared" si="12"/>
        <v>7.0696340362245813E-2</v>
      </c>
      <c r="Q42" s="69">
        <v>173</v>
      </c>
      <c r="R42" s="68">
        <f t="shared" si="18"/>
        <v>6.9882498453927022E-2</v>
      </c>
      <c r="S42" s="69">
        <v>157.9</v>
      </c>
      <c r="T42" s="68">
        <f t="shared" si="13"/>
        <v>8.0027359781121854E-2</v>
      </c>
      <c r="U42" s="72">
        <v>167.2</v>
      </c>
      <c r="V42" s="68">
        <f t="shared" si="19"/>
        <v>7.5241157556269922E-2</v>
      </c>
      <c r="W42" s="72">
        <v>167.2</v>
      </c>
      <c r="X42" s="68">
        <f t="shared" si="14"/>
        <v>8.7126137841352147E-2</v>
      </c>
      <c r="Y42" s="72">
        <v>165.3</v>
      </c>
      <c r="Z42" s="68">
        <f t="shared" si="15"/>
        <v>3.3771106941838713E-2</v>
      </c>
      <c r="AA42" s="72">
        <v>193.7</v>
      </c>
      <c r="AB42" s="68">
        <f t="shared" si="16"/>
        <v>2.9771398192450782E-2</v>
      </c>
      <c r="AC42" s="72">
        <v>166</v>
      </c>
      <c r="AD42" s="68">
        <f t="shared" si="17"/>
        <v>3.6204744069912698E-2</v>
      </c>
      <c r="AE42" s="47" t="str">
        <f t="shared" si="20"/>
        <v>Post-COVID</v>
      </c>
    </row>
    <row r="43" spans="1:31" x14ac:dyDescent="0.35">
      <c r="A43" s="28">
        <v>44317</v>
      </c>
      <c r="B43" s="1">
        <v>160.4</v>
      </c>
      <c r="C43" s="1">
        <v>162.08333333333334</v>
      </c>
      <c r="D43" s="1">
        <v>165.8</v>
      </c>
      <c r="E43" s="1">
        <v>148.9</v>
      </c>
      <c r="F43" s="1">
        <v>159.4</v>
      </c>
      <c r="G43" s="1">
        <v>158.6</v>
      </c>
      <c r="H43" s="1">
        <v>161.6</v>
      </c>
      <c r="I43" s="1">
        <v>191.9</v>
      </c>
      <c r="J43" s="1">
        <v>161.19999999999999</v>
      </c>
      <c r="L43" s="67">
        <v>44652</v>
      </c>
      <c r="M43" s="47">
        <v>170.1</v>
      </c>
      <c r="N43" s="68">
        <f t="shared" si="11"/>
        <v>7.7946768060836336E-2</v>
      </c>
      <c r="O43" s="69">
        <v>170.29166666666669</v>
      </c>
      <c r="P43" s="68">
        <f t="shared" si="12"/>
        <v>7.2084360736582642E-2</v>
      </c>
      <c r="Q43" s="69">
        <v>174</v>
      </c>
      <c r="R43" s="68">
        <f t="shared" si="18"/>
        <v>7.2088724584103536E-2</v>
      </c>
      <c r="S43" s="69">
        <v>162.6</v>
      </c>
      <c r="T43" s="68">
        <f t="shared" si="13"/>
        <v>0.10914051841746253</v>
      </c>
      <c r="U43" s="72">
        <v>172.2</v>
      </c>
      <c r="V43" s="68">
        <f t="shared" si="19"/>
        <v>0.10668380462724936</v>
      </c>
      <c r="W43" s="72">
        <v>168.8</v>
      </c>
      <c r="X43" s="68">
        <f t="shared" si="14"/>
        <v>8.6229086229086205E-2</v>
      </c>
      <c r="Y43" s="72">
        <v>167</v>
      </c>
      <c r="Z43" s="68">
        <f t="shared" si="15"/>
        <v>3.4696406443618377E-2</v>
      </c>
      <c r="AA43" s="72">
        <v>193.9</v>
      </c>
      <c r="AB43" s="68">
        <f t="shared" si="16"/>
        <v>2.7012711864406791E-2</v>
      </c>
      <c r="AC43" s="72">
        <v>166.9</v>
      </c>
      <c r="AD43" s="68">
        <f t="shared" si="17"/>
        <v>4.1172800998128478E-2</v>
      </c>
      <c r="AE43" s="47" t="str">
        <f t="shared" si="20"/>
        <v>Post-COVID</v>
      </c>
    </row>
    <row r="44" spans="1:31" x14ac:dyDescent="0.35">
      <c r="A44" s="28">
        <v>44348</v>
      </c>
      <c r="B44" s="1">
        <v>161.30000000000001</v>
      </c>
      <c r="C44" s="1">
        <v>164.27500000000001</v>
      </c>
      <c r="D44" s="1">
        <v>166.3</v>
      </c>
      <c r="E44" s="1">
        <v>150.69999999999999</v>
      </c>
      <c r="F44" s="1">
        <v>159.80000000000001</v>
      </c>
      <c r="G44" s="1">
        <v>158.80000000000001</v>
      </c>
      <c r="H44" s="1">
        <v>160.5</v>
      </c>
      <c r="I44" s="1">
        <v>190.8</v>
      </c>
      <c r="J44" s="1">
        <v>161.69999999999999</v>
      </c>
      <c r="L44" s="67">
        <v>44682</v>
      </c>
      <c r="M44" s="47">
        <v>171.7</v>
      </c>
      <c r="N44" s="68">
        <f t="shared" si="11"/>
        <v>7.0448877805486143E-2</v>
      </c>
      <c r="O44" s="69">
        <v>172.13333333333335</v>
      </c>
      <c r="P44" s="68">
        <f t="shared" si="12"/>
        <v>6.2005141388174811E-2</v>
      </c>
      <c r="Q44" s="69">
        <v>174.8</v>
      </c>
      <c r="R44" s="68">
        <f t="shared" si="18"/>
        <v>5.428226779252121E-2</v>
      </c>
      <c r="S44" s="69">
        <v>163</v>
      </c>
      <c r="T44" s="68">
        <f t="shared" si="13"/>
        <v>9.469442578912024E-2</v>
      </c>
      <c r="U44" s="72">
        <v>174.6</v>
      </c>
      <c r="V44" s="68">
        <f t="shared" si="19"/>
        <v>9.535759096612284E-2</v>
      </c>
      <c r="W44" s="72">
        <v>168.4</v>
      </c>
      <c r="X44" s="68">
        <f t="shared" si="14"/>
        <v>6.1790668348045363E-2</v>
      </c>
      <c r="Y44" s="72">
        <v>167.5</v>
      </c>
      <c r="Z44" s="68">
        <f t="shared" si="15"/>
        <v>3.6509900990099098E-2</v>
      </c>
      <c r="AA44" s="72">
        <v>194.1</v>
      </c>
      <c r="AB44" s="68">
        <f t="shared" si="16"/>
        <v>1.1464304325169206E-2</v>
      </c>
      <c r="AC44" s="72">
        <v>167.9</v>
      </c>
      <c r="AD44" s="68">
        <f t="shared" si="17"/>
        <v>4.1563275434243208E-2</v>
      </c>
      <c r="AE44" s="47" t="str">
        <f t="shared" si="20"/>
        <v>Post-COVID</v>
      </c>
    </row>
    <row r="45" spans="1:31" x14ac:dyDescent="0.35">
      <c r="A45" s="28">
        <v>44378</v>
      </c>
      <c r="B45" s="1">
        <v>162.5</v>
      </c>
      <c r="C45" s="1">
        <v>165.25000000000003</v>
      </c>
      <c r="D45" s="1">
        <v>167</v>
      </c>
      <c r="E45" s="1">
        <v>153.1</v>
      </c>
      <c r="F45" s="1">
        <v>160.69999999999999</v>
      </c>
      <c r="G45" s="1">
        <v>160.1</v>
      </c>
      <c r="H45" s="1">
        <v>161.5</v>
      </c>
      <c r="I45" s="1">
        <v>191.2</v>
      </c>
      <c r="J45" s="1">
        <v>163.19999999999999</v>
      </c>
      <c r="L45" s="67">
        <v>44713</v>
      </c>
      <c r="M45" s="47">
        <v>172.6</v>
      </c>
      <c r="N45" s="68">
        <f t="shared" si="11"/>
        <v>7.0055796652200852E-2</v>
      </c>
      <c r="O45" s="69">
        <v>173.91666666666666</v>
      </c>
      <c r="P45" s="68">
        <f t="shared" si="12"/>
        <v>5.8692233551463469E-2</v>
      </c>
      <c r="Q45" s="69">
        <v>175.4</v>
      </c>
      <c r="R45" s="68">
        <f t="shared" si="18"/>
        <v>5.472038484666264E-2</v>
      </c>
      <c r="S45" s="69">
        <v>161.1</v>
      </c>
      <c r="T45" s="68">
        <f t="shared" si="13"/>
        <v>6.9011280690112864E-2</v>
      </c>
      <c r="U45" s="72">
        <v>176</v>
      </c>
      <c r="V45" s="68">
        <f t="shared" si="19"/>
        <v>0.10137672090112626</v>
      </c>
      <c r="W45" s="72">
        <v>169.4</v>
      </c>
      <c r="X45" s="68">
        <f t="shared" si="14"/>
        <v>6.6750629722921895E-2</v>
      </c>
      <c r="Y45" s="72">
        <v>166.8</v>
      </c>
      <c r="Z45" s="68">
        <f t="shared" si="15"/>
        <v>3.9252336448598157E-2</v>
      </c>
      <c r="AA45" s="72">
        <v>194.3</v>
      </c>
      <c r="AB45" s="68">
        <f t="shared" si="16"/>
        <v>1.8343815513626849E-2</v>
      </c>
      <c r="AC45" s="72">
        <v>169</v>
      </c>
      <c r="AD45" s="68">
        <f t="shared" si="17"/>
        <v>4.5145330859616584E-2</v>
      </c>
      <c r="AE45" s="47" t="str">
        <f t="shared" si="20"/>
        <v>Post-COVID</v>
      </c>
    </row>
    <row r="46" spans="1:31" x14ac:dyDescent="0.35">
      <c r="A46" s="28">
        <v>44409</v>
      </c>
      <c r="B46" s="1">
        <v>163.19999999999999</v>
      </c>
      <c r="C46" s="1">
        <v>164.83333333333334</v>
      </c>
      <c r="D46" s="1">
        <v>168.4</v>
      </c>
      <c r="E46" s="1">
        <v>154</v>
      </c>
      <c r="F46" s="1">
        <v>162.6</v>
      </c>
      <c r="G46" s="1">
        <v>160</v>
      </c>
      <c r="H46" s="1">
        <v>162.1</v>
      </c>
      <c r="I46" s="1">
        <v>192.1</v>
      </c>
      <c r="J46" s="1">
        <v>163.80000000000001</v>
      </c>
      <c r="L46" s="67">
        <v>44743</v>
      </c>
      <c r="M46" s="47">
        <v>173.4</v>
      </c>
      <c r="N46" s="68">
        <f t="shared" si="11"/>
        <v>6.7076923076923034E-2</v>
      </c>
      <c r="O46" s="69">
        <v>174.27500000000001</v>
      </c>
      <c r="P46" s="68">
        <f t="shared" si="12"/>
        <v>5.4614220877458264E-2</v>
      </c>
      <c r="Q46" s="69">
        <v>176.1</v>
      </c>
      <c r="R46" s="68">
        <f t="shared" si="18"/>
        <v>5.4491017964071853E-2</v>
      </c>
      <c r="S46" s="69">
        <v>161.6</v>
      </c>
      <c r="T46" s="68">
        <f t="shared" si="13"/>
        <v>5.5519268451992065E-2</v>
      </c>
      <c r="U46" s="72">
        <v>179.6</v>
      </c>
      <c r="V46" s="68">
        <f t="shared" si="19"/>
        <v>0.11761045426260108</v>
      </c>
      <c r="W46" s="72">
        <v>169.7</v>
      </c>
      <c r="X46" s="68">
        <f t="shared" si="14"/>
        <v>5.9962523422860681E-2</v>
      </c>
      <c r="Y46" s="72">
        <v>167.8</v>
      </c>
      <c r="Z46" s="68">
        <f t="shared" si="15"/>
        <v>3.900928792569669E-2</v>
      </c>
      <c r="AA46" s="72">
        <v>194.6</v>
      </c>
      <c r="AB46" s="68">
        <f t="shared" si="16"/>
        <v>1.778242677824271E-2</v>
      </c>
      <c r="AC46" s="72">
        <v>171.4</v>
      </c>
      <c r="AD46" s="68">
        <f t="shared" si="17"/>
        <v>5.024509803921573E-2</v>
      </c>
      <c r="AE46" s="47" t="str">
        <f t="shared" si="20"/>
        <v>Post-COVID</v>
      </c>
    </row>
    <row r="47" spans="1:31" x14ac:dyDescent="0.35">
      <c r="A47" s="28">
        <v>44440</v>
      </c>
      <c r="B47" s="1">
        <v>163.19999999999999</v>
      </c>
      <c r="C47" s="1">
        <v>164.83333333333334</v>
      </c>
      <c r="D47" s="1">
        <v>168.4</v>
      </c>
      <c r="E47" s="1">
        <v>154</v>
      </c>
      <c r="F47" s="1">
        <v>162.6</v>
      </c>
      <c r="G47" s="1">
        <v>160</v>
      </c>
      <c r="H47" s="1">
        <v>162.1</v>
      </c>
      <c r="I47" s="1">
        <v>192.1</v>
      </c>
      <c r="J47" s="1">
        <v>163.69999999999999</v>
      </c>
      <c r="L47" s="67">
        <v>44774</v>
      </c>
      <c r="M47" s="47">
        <v>174.3</v>
      </c>
      <c r="N47" s="68">
        <f t="shared" si="11"/>
        <v>6.8014705882353033E-2</v>
      </c>
      <c r="O47" s="69">
        <v>174.40833333333333</v>
      </c>
      <c r="P47" s="68">
        <f t="shared" si="12"/>
        <v>5.808897876643071E-2</v>
      </c>
      <c r="Q47" s="69">
        <v>176.8</v>
      </c>
      <c r="R47" s="68">
        <f t="shared" si="18"/>
        <v>4.9881235154394243E-2</v>
      </c>
      <c r="S47" s="69">
        <v>161.9</v>
      </c>
      <c r="T47" s="68">
        <f t="shared" si="13"/>
        <v>5.1298701298701399E-2</v>
      </c>
      <c r="U47" s="72">
        <v>178.8</v>
      </c>
      <c r="V47" s="68">
        <f t="shared" si="19"/>
        <v>9.9630996309963304E-2</v>
      </c>
      <c r="W47" s="72">
        <v>171.2</v>
      </c>
      <c r="X47" s="68">
        <f t="shared" si="14"/>
        <v>6.999999999999984E-2</v>
      </c>
      <c r="Y47" s="72">
        <v>169</v>
      </c>
      <c r="Z47" s="68">
        <f t="shared" si="15"/>
        <v>4.256631708821712E-2</v>
      </c>
      <c r="AA47" s="72">
        <v>195</v>
      </c>
      <c r="AB47" s="68">
        <f t="shared" si="16"/>
        <v>1.5096304008328953E-2</v>
      </c>
      <c r="AC47" s="72">
        <v>172.3</v>
      </c>
      <c r="AD47" s="68">
        <f t="shared" si="17"/>
        <v>5.189255189255193E-2</v>
      </c>
      <c r="AE47" s="47" t="str">
        <f t="shared" si="20"/>
        <v>Post-COVID</v>
      </c>
    </row>
    <row r="48" spans="1:31" x14ac:dyDescent="0.35">
      <c r="A48" s="28">
        <v>44470</v>
      </c>
      <c r="B48" s="1">
        <v>165.5</v>
      </c>
      <c r="C48" s="1">
        <v>167.31666666666669</v>
      </c>
      <c r="D48" s="1">
        <v>169.1</v>
      </c>
      <c r="E48" s="1">
        <v>155.69999999999999</v>
      </c>
      <c r="F48" s="1">
        <v>164.2</v>
      </c>
      <c r="G48" s="1">
        <v>160.80000000000001</v>
      </c>
      <c r="H48" s="1">
        <v>163.6</v>
      </c>
      <c r="I48" s="1">
        <v>192.7</v>
      </c>
      <c r="J48" s="1">
        <v>163.9</v>
      </c>
      <c r="L48" s="67">
        <v>44805</v>
      </c>
      <c r="M48" s="47">
        <v>175.3</v>
      </c>
      <c r="N48" s="68">
        <f t="shared" si="11"/>
        <v>7.4142156862745168E-2</v>
      </c>
      <c r="O48" s="69">
        <v>175.25833333333333</v>
      </c>
      <c r="P48" s="68">
        <f t="shared" si="12"/>
        <v>6.3245702730030162E-2</v>
      </c>
      <c r="Q48" s="69">
        <v>177.8</v>
      </c>
      <c r="R48" s="68">
        <f t="shared" si="18"/>
        <v>5.581947743467941E-2</v>
      </c>
      <c r="S48" s="69">
        <v>162.30000000000001</v>
      </c>
      <c r="T48" s="68">
        <f t="shared" si="13"/>
        <v>5.3896103896103886E-2</v>
      </c>
      <c r="U48" s="72">
        <v>179.5</v>
      </c>
      <c r="V48" s="68">
        <f t="shared" si="19"/>
        <v>0.10393603936039364</v>
      </c>
      <c r="W48" s="72">
        <v>170.9</v>
      </c>
      <c r="X48" s="68">
        <f t="shared" si="14"/>
        <v>6.8124999999999991E-2</v>
      </c>
      <c r="Y48" s="72">
        <v>169.5</v>
      </c>
      <c r="Z48" s="68">
        <f t="shared" si="15"/>
        <v>4.5650832819247311E-2</v>
      </c>
      <c r="AA48" s="72">
        <v>195.9</v>
      </c>
      <c r="AB48" s="68">
        <f t="shared" si="16"/>
        <v>1.9781363872982904E-2</v>
      </c>
      <c r="AC48" s="72">
        <v>173.1</v>
      </c>
      <c r="AD48" s="68">
        <f t="shared" si="17"/>
        <v>5.7422113622480175E-2</v>
      </c>
      <c r="AE48" s="47" t="str">
        <f t="shared" si="20"/>
        <v>Post-COVID</v>
      </c>
    </row>
    <row r="49" spans="1:31" x14ac:dyDescent="0.35">
      <c r="A49" s="28">
        <v>44501</v>
      </c>
      <c r="B49" s="1">
        <v>166.7</v>
      </c>
      <c r="C49" s="1">
        <v>168.7</v>
      </c>
      <c r="D49" s="1">
        <v>169.9</v>
      </c>
      <c r="E49" s="1">
        <v>154.80000000000001</v>
      </c>
      <c r="F49" s="1">
        <v>163.9</v>
      </c>
      <c r="G49" s="1">
        <v>162.19999999999999</v>
      </c>
      <c r="H49" s="1">
        <v>164.2</v>
      </c>
      <c r="I49" s="1">
        <v>192.9</v>
      </c>
      <c r="J49" s="1">
        <v>164.3</v>
      </c>
      <c r="L49" s="67">
        <v>44835</v>
      </c>
      <c r="M49" s="47">
        <v>176.7</v>
      </c>
      <c r="N49" s="68">
        <f t="shared" si="11"/>
        <v>6.7673716012084606E-2</v>
      </c>
      <c r="O49" s="69">
        <v>176.47500000000002</v>
      </c>
      <c r="P49" s="68">
        <f t="shared" si="12"/>
        <v>5.4736527542583957E-2</v>
      </c>
      <c r="Q49" s="69">
        <v>178.7</v>
      </c>
      <c r="R49" s="68">
        <f t="shared" si="18"/>
        <v>5.6771141336487307E-2</v>
      </c>
      <c r="S49" s="69">
        <v>162.9</v>
      </c>
      <c r="T49" s="68">
        <f t="shared" si="13"/>
        <v>4.6242774566474187E-2</v>
      </c>
      <c r="U49" s="72">
        <v>180.5</v>
      </c>
      <c r="V49" s="68">
        <f t="shared" si="19"/>
        <v>9.9269183922046311E-2</v>
      </c>
      <c r="W49" s="72">
        <v>172.1</v>
      </c>
      <c r="X49" s="68">
        <f t="shared" si="14"/>
        <v>7.0273631840795936E-2</v>
      </c>
      <c r="Y49" s="72">
        <v>171.2</v>
      </c>
      <c r="Z49" s="68">
        <f t="shared" si="15"/>
        <v>4.6454767726161306E-2</v>
      </c>
      <c r="AA49" s="72">
        <v>196.3</v>
      </c>
      <c r="AB49" s="68">
        <f t="shared" si="16"/>
        <v>1.8681888946549208E-2</v>
      </c>
      <c r="AC49" s="72">
        <v>173.4</v>
      </c>
      <c r="AD49" s="68">
        <f t="shared" si="17"/>
        <v>5.7962172056131855E-2</v>
      </c>
      <c r="AE49" s="47" t="str">
        <f t="shared" si="20"/>
        <v>Post-COVID</v>
      </c>
    </row>
    <row r="50" spans="1:31" x14ac:dyDescent="0.35">
      <c r="A50" s="28">
        <v>44531</v>
      </c>
      <c r="B50" s="1">
        <v>166.2</v>
      </c>
      <c r="C50" s="1">
        <v>167.72499999999999</v>
      </c>
      <c r="D50" s="1">
        <v>170.6</v>
      </c>
      <c r="E50" s="1">
        <v>155.69999999999999</v>
      </c>
      <c r="F50" s="1">
        <v>164.1</v>
      </c>
      <c r="G50" s="1">
        <v>162.6</v>
      </c>
      <c r="H50" s="1">
        <v>163.4</v>
      </c>
      <c r="I50" s="1">
        <v>192.4</v>
      </c>
      <c r="J50" s="1">
        <v>164.4</v>
      </c>
      <c r="L50" s="67">
        <v>44866</v>
      </c>
      <c r="M50" s="47">
        <v>176.5</v>
      </c>
      <c r="N50" s="68">
        <f t="shared" si="11"/>
        <v>5.8788242351529796E-2</v>
      </c>
      <c r="O50" s="69">
        <v>176.54166666666666</v>
      </c>
      <c r="P50" s="68">
        <f t="shared" si="12"/>
        <v>4.6482908516103594E-2</v>
      </c>
      <c r="Q50" s="69">
        <v>179.8</v>
      </c>
      <c r="R50" s="68">
        <f t="shared" si="18"/>
        <v>5.8269570335491405E-2</v>
      </c>
      <c r="S50" s="69">
        <v>163</v>
      </c>
      <c r="T50" s="68">
        <f t="shared" si="13"/>
        <v>5.2971576227390127E-2</v>
      </c>
      <c r="U50" s="72">
        <v>181.3</v>
      </c>
      <c r="V50" s="68">
        <f t="shared" si="19"/>
        <v>0.10616229408175726</v>
      </c>
      <c r="W50" s="72">
        <v>173.6</v>
      </c>
      <c r="X50" s="68">
        <f t="shared" si="14"/>
        <v>7.0283600493218357E-2</v>
      </c>
      <c r="Y50" s="72">
        <v>171.8</v>
      </c>
      <c r="Z50" s="68">
        <f t="shared" si="15"/>
        <v>4.628501827040199E-2</v>
      </c>
      <c r="AA50" s="72">
        <v>196.9</v>
      </c>
      <c r="AB50" s="68">
        <f t="shared" si="16"/>
        <v>2.0736132711249411E-2</v>
      </c>
      <c r="AC50" s="72">
        <v>173.7</v>
      </c>
      <c r="AD50" s="68">
        <f t="shared" si="17"/>
        <v>5.7212416311624992E-2</v>
      </c>
      <c r="AE50" s="47" t="str">
        <f t="shared" si="20"/>
        <v>Post-COVID</v>
      </c>
    </row>
    <row r="51" spans="1:31" x14ac:dyDescent="0.35">
      <c r="A51" s="28">
        <v>44562</v>
      </c>
      <c r="B51" s="1">
        <v>165.7</v>
      </c>
      <c r="C51" s="1">
        <v>166.48333333333332</v>
      </c>
      <c r="D51" s="1">
        <v>171.4</v>
      </c>
      <c r="E51" s="1">
        <v>156.5</v>
      </c>
      <c r="F51" s="1">
        <v>164.2</v>
      </c>
      <c r="G51" s="1">
        <v>163</v>
      </c>
      <c r="H51" s="1">
        <v>164.5</v>
      </c>
      <c r="I51" s="1">
        <v>192.2</v>
      </c>
      <c r="J51" s="1">
        <v>164.7</v>
      </c>
      <c r="L51" s="67">
        <v>44896</v>
      </c>
      <c r="M51" s="47">
        <v>175.7</v>
      </c>
      <c r="N51" s="68">
        <f t="shared" si="11"/>
        <v>5.7160048134777375E-2</v>
      </c>
      <c r="O51" s="69">
        <v>175.625</v>
      </c>
      <c r="P51" s="68">
        <f t="shared" si="12"/>
        <v>4.7100909226412302E-2</v>
      </c>
      <c r="Q51" s="69">
        <v>181.1</v>
      </c>
      <c r="R51" s="68">
        <f t="shared" si="18"/>
        <v>6.1547479484173495E-2</v>
      </c>
      <c r="S51" s="69">
        <v>163.4</v>
      </c>
      <c r="T51" s="68">
        <f t="shared" si="13"/>
        <v>4.9454078355812614E-2</v>
      </c>
      <c r="U51" s="72">
        <v>182</v>
      </c>
      <c r="V51" s="68">
        <f t="shared" si="19"/>
        <v>0.10907982937233407</v>
      </c>
      <c r="W51" s="72">
        <v>175.8</v>
      </c>
      <c r="X51" s="68">
        <f t="shared" si="14"/>
        <v>8.1180811808118092E-2</v>
      </c>
      <c r="Y51" s="72">
        <v>170.7</v>
      </c>
      <c r="Z51" s="68">
        <f t="shared" si="15"/>
        <v>4.4675642594859122E-2</v>
      </c>
      <c r="AA51" s="72">
        <v>197.3</v>
      </c>
      <c r="AB51" s="68">
        <f t="shared" si="16"/>
        <v>2.5467775467775455E-2</v>
      </c>
      <c r="AC51" s="72">
        <v>174.1</v>
      </c>
      <c r="AD51" s="68">
        <f t="shared" si="17"/>
        <v>5.9002433090024287E-2</v>
      </c>
      <c r="AE51" s="47" t="str">
        <f t="shared" si="20"/>
        <v>Post-COVID</v>
      </c>
    </row>
    <row r="52" spans="1:31" x14ac:dyDescent="0.35">
      <c r="A52" s="28">
        <v>44593</v>
      </c>
      <c r="B52" s="1">
        <v>166.1</v>
      </c>
      <c r="C52" s="1">
        <v>166.25000000000003</v>
      </c>
      <c r="D52" s="1">
        <v>172.2</v>
      </c>
      <c r="E52" s="1">
        <v>156.9</v>
      </c>
      <c r="F52" s="1">
        <v>165.7</v>
      </c>
      <c r="G52" s="1">
        <v>164.4</v>
      </c>
      <c r="H52" s="1">
        <v>165.5</v>
      </c>
      <c r="I52" s="1">
        <v>192.8</v>
      </c>
      <c r="J52" s="1">
        <v>165.4</v>
      </c>
      <c r="L52" s="67">
        <v>44927</v>
      </c>
      <c r="M52" s="47">
        <v>176.5</v>
      </c>
      <c r="N52" s="68">
        <f t="shared" si="11"/>
        <v>6.5178032589016333E-2</v>
      </c>
      <c r="O52" s="69">
        <v>176.33333333333334</v>
      </c>
      <c r="P52" s="68">
        <f t="shared" si="12"/>
        <v>5.9165081589748869E-2</v>
      </c>
      <c r="Q52" s="69">
        <v>182.3</v>
      </c>
      <c r="R52" s="68">
        <f t="shared" si="18"/>
        <v>6.3593932322053792E-2</v>
      </c>
      <c r="S52" s="69">
        <v>163.6</v>
      </c>
      <c r="T52" s="68">
        <f t="shared" si="13"/>
        <v>4.5367412140574936E-2</v>
      </c>
      <c r="U52" s="72">
        <v>182</v>
      </c>
      <c r="V52" s="68">
        <f t="shared" si="19"/>
        <v>0.10840438489646775</v>
      </c>
      <c r="W52" s="72">
        <v>178.6</v>
      </c>
      <c r="X52" s="68">
        <f t="shared" si="14"/>
        <v>9.570552147239253E-2</v>
      </c>
      <c r="Y52" s="72">
        <v>172.1</v>
      </c>
      <c r="Z52" s="68">
        <f t="shared" si="15"/>
        <v>4.6200607902735502E-2</v>
      </c>
      <c r="AA52" s="72">
        <v>198.2</v>
      </c>
      <c r="AB52" s="68">
        <f t="shared" si="16"/>
        <v>3.1217481789802326E-2</v>
      </c>
      <c r="AC52" s="72">
        <v>174.3</v>
      </c>
      <c r="AD52" s="68">
        <f t="shared" si="17"/>
        <v>5.8287795992714164E-2</v>
      </c>
      <c r="AE52" s="47" t="str">
        <f t="shared" si="20"/>
        <v>Post-COVID</v>
      </c>
    </row>
    <row r="53" spans="1:31" x14ac:dyDescent="0.35">
      <c r="A53" s="28">
        <v>44621</v>
      </c>
      <c r="B53" s="1">
        <v>167.7</v>
      </c>
      <c r="C53" s="1">
        <v>167.98333333333335</v>
      </c>
      <c r="D53" s="1">
        <v>173</v>
      </c>
      <c r="E53" s="1">
        <v>157.9</v>
      </c>
      <c r="F53" s="1">
        <v>167.2</v>
      </c>
      <c r="G53" s="1">
        <v>167.2</v>
      </c>
      <c r="H53" s="1">
        <v>165.3</v>
      </c>
      <c r="I53" s="1">
        <v>193.7</v>
      </c>
      <c r="J53" s="1">
        <v>166</v>
      </c>
      <c r="L53" s="67">
        <v>44958</v>
      </c>
      <c r="M53" s="47">
        <v>177.2</v>
      </c>
      <c r="N53" s="68">
        <f t="shared" si="11"/>
        <v>6.682721252257684E-2</v>
      </c>
      <c r="O53" s="69">
        <v>175.17499999999998</v>
      </c>
      <c r="P53" s="68">
        <f t="shared" si="12"/>
        <v>5.3684210526315557E-2</v>
      </c>
      <c r="Q53" s="69">
        <v>184.4</v>
      </c>
      <c r="R53" s="68">
        <f t="shared" si="18"/>
        <v>7.0847851335656298E-2</v>
      </c>
      <c r="S53" s="69">
        <v>164.2</v>
      </c>
      <c r="T53" s="68">
        <f t="shared" si="13"/>
        <v>4.6526449968132377E-2</v>
      </c>
      <c r="U53" s="72">
        <v>182.1</v>
      </c>
      <c r="V53" s="68">
        <f t="shared" si="19"/>
        <v>9.8974049487024818E-2</v>
      </c>
      <c r="W53" s="72">
        <v>181</v>
      </c>
      <c r="X53" s="68">
        <f t="shared" si="14"/>
        <v>0.1009732360097324</v>
      </c>
      <c r="Y53" s="72">
        <v>173.5</v>
      </c>
      <c r="Z53" s="68">
        <f t="shared" si="15"/>
        <v>4.8338368580060465E-2</v>
      </c>
      <c r="AA53" s="72">
        <v>199.5</v>
      </c>
      <c r="AB53" s="68">
        <f t="shared" si="16"/>
        <v>3.4751037344398217E-2</v>
      </c>
      <c r="AC53" s="72">
        <v>175</v>
      </c>
      <c r="AD53" s="68">
        <f t="shared" si="17"/>
        <v>5.8041112454655375E-2</v>
      </c>
      <c r="AE53" s="47" t="str">
        <f t="shared" si="20"/>
        <v>Post-COVID</v>
      </c>
    </row>
    <row r="54" spans="1:31" x14ac:dyDescent="0.35">
      <c r="A54" s="28">
        <v>44652</v>
      </c>
      <c r="B54" s="1">
        <v>170.1</v>
      </c>
      <c r="C54" s="1">
        <v>170.29166666666669</v>
      </c>
      <c r="D54" s="1">
        <v>174</v>
      </c>
      <c r="E54" s="1">
        <v>162.6</v>
      </c>
      <c r="F54" s="1">
        <v>172.2</v>
      </c>
      <c r="G54" s="1">
        <v>168.8</v>
      </c>
      <c r="H54" s="1">
        <v>167</v>
      </c>
      <c r="I54" s="1">
        <v>193.9</v>
      </c>
      <c r="J54" s="1">
        <v>166.9</v>
      </c>
      <c r="L54" s="67">
        <v>44986</v>
      </c>
      <c r="M54" s="47">
        <v>177.2</v>
      </c>
      <c r="N54" s="68">
        <f t="shared" si="11"/>
        <v>5.6648777579010101E-2</v>
      </c>
      <c r="O54" s="69">
        <v>175.18333333333331</v>
      </c>
      <c r="P54" s="68">
        <f t="shared" si="12"/>
        <v>4.286139497966035E-2</v>
      </c>
      <c r="Q54" s="69">
        <v>184.4</v>
      </c>
      <c r="R54" s="68">
        <f t="shared" si="18"/>
        <v>6.5895953757225456E-2</v>
      </c>
      <c r="S54" s="69">
        <v>164.2</v>
      </c>
      <c r="T54" s="68">
        <f t="shared" si="13"/>
        <v>3.9898670044331785E-2</v>
      </c>
      <c r="U54" s="72">
        <v>181.9</v>
      </c>
      <c r="V54" s="68">
        <f t="shared" si="19"/>
        <v>8.7918660287081396E-2</v>
      </c>
      <c r="W54" s="72">
        <v>181</v>
      </c>
      <c r="X54" s="68">
        <f t="shared" si="14"/>
        <v>8.253588516746424E-2</v>
      </c>
      <c r="Y54" s="72">
        <v>173.5</v>
      </c>
      <c r="Z54" s="68">
        <f t="shared" si="15"/>
        <v>4.960677555958859E-2</v>
      </c>
      <c r="AA54" s="72">
        <v>199.5</v>
      </c>
      <c r="AB54" s="68">
        <f t="shared" si="16"/>
        <v>2.994321115126497E-2</v>
      </c>
      <c r="AC54" s="72">
        <v>175</v>
      </c>
      <c r="AD54" s="68">
        <f t="shared" si="17"/>
        <v>5.4216867469879526E-2</v>
      </c>
      <c r="AE54" s="47" t="str">
        <f t="shared" si="20"/>
        <v>Post-COVID</v>
      </c>
    </row>
    <row r="55" spans="1:31" x14ac:dyDescent="0.35">
      <c r="A55" s="28">
        <v>44682</v>
      </c>
      <c r="B55" s="1">
        <v>171.7</v>
      </c>
      <c r="C55" s="1">
        <v>172.13333333333335</v>
      </c>
      <c r="D55" s="1">
        <v>174.8</v>
      </c>
      <c r="E55" s="1">
        <v>163</v>
      </c>
      <c r="F55" s="1">
        <v>174.6</v>
      </c>
      <c r="G55" s="1">
        <v>168.4</v>
      </c>
      <c r="H55" s="1">
        <v>167.5</v>
      </c>
      <c r="I55" s="1">
        <v>194.1</v>
      </c>
      <c r="J55" s="1">
        <v>167.9</v>
      </c>
      <c r="L55" s="67">
        <v>45017</v>
      </c>
      <c r="M55" s="47">
        <v>178.1</v>
      </c>
      <c r="N55" s="68">
        <f t="shared" si="11"/>
        <v>4.7031158142269325E-2</v>
      </c>
      <c r="O55" s="69">
        <v>175.97500000000002</v>
      </c>
      <c r="P55" s="68">
        <f t="shared" si="12"/>
        <v>3.3374113041350739E-2</v>
      </c>
      <c r="Q55" s="69">
        <v>185</v>
      </c>
      <c r="R55" s="68">
        <f t="shared" si="18"/>
        <v>6.321839080459779E-2</v>
      </c>
      <c r="S55" s="69">
        <v>164.5</v>
      </c>
      <c r="T55" s="68">
        <f t="shared" si="13"/>
        <v>1.1685116851168464E-2</v>
      </c>
      <c r="U55" s="72">
        <v>181.7</v>
      </c>
      <c r="V55" s="68">
        <f t="shared" si="19"/>
        <v>5.5168408826945514E-2</v>
      </c>
      <c r="W55" s="72">
        <v>184</v>
      </c>
      <c r="X55" s="68">
        <f t="shared" si="14"/>
        <v>9.004739336492884E-2</v>
      </c>
      <c r="Y55" s="72">
        <v>175.2</v>
      </c>
      <c r="Z55" s="68">
        <f t="shared" si="15"/>
        <v>4.9101796407185594E-2</v>
      </c>
      <c r="AA55" s="72">
        <v>200.6</v>
      </c>
      <c r="AB55" s="68">
        <f t="shared" si="16"/>
        <v>3.4553893759669885E-2</v>
      </c>
      <c r="AC55" s="72">
        <v>176.4</v>
      </c>
      <c r="AD55" s="68">
        <f t="shared" si="17"/>
        <v>5.6920311563810611E-2</v>
      </c>
      <c r="AE55" s="47" t="str">
        <f t="shared" si="20"/>
        <v>Post-COVID</v>
      </c>
    </row>
    <row r="56" spans="1:31" x14ac:dyDescent="0.35">
      <c r="A56" s="28">
        <v>44713</v>
      </c>
      <c r="B56" s="1">
        <v>172.6</v>
      </c>
      <c r="C56" s="1">
        <v>173.91666666666666</v>
      </c>
      <c r="D56" s="1">
        <v>175.4</v>
      </c>
      <c r="E56" s="1">
        <v>161.1</v>
      </c>
      <c r="F56" s="1">
        <v>176</v>
      </c>
      <c r="G56" s="1">
        <v>169.4</v>
      </c>
      <c r="H56" s="1">
        <v>166.8</v>
      </c>
      <c r="I56" s="1">
        <v>194.3</v>
      </c>
      <c r="J56" s="1">
        <v>169</v>
      </c>
      <c r="L56" s="67">
        <v>45047</v>
      </c>
      <c r="M56" s="47">
        <v>179.1</v>
      </c>
      <c r="N56" s="68">
        <f t="shared" si="11"/>
        <v>4.3098427489807856E-2</v>
      </c>
      <c r="O56" s="69">
        <v>177.31666666666669</v>
      </c>
      <c r="P56" s="68">
        <f t="shared" si="12"/>
        <v>3.0112316034082154E-2</v>
      </c>
      <c r="Q56" s="69">
        <v>185.7</v>
      </c>
      <c r="R56" s="68">
        <f t="shared" si="18"/>
        <v>6.2356979405034263E-2</v>
      </c>
      <c r="S56" s="69">
        <v>164.8</v>
      </c>
      <c r="T56" s="68">
        <f t="shared" si="13"/>
        <v>1.1042944785276232E-2</v>
      </c>
      <c r="U56" s="72">
        <v>182.8</v>
      </c>
      <c r="V56" s="68">
        <f t="shared" si="19"/>
        <v>4.6964490263459391E-2</v>
      </c>
      <c r="W56" s="72">
        <v>185.2</v>
      </c>
      <c r="X56" s="68">
        <f t="shared" si="14"/>
        <v>9.9762470308788487E-2</v>
      </c>
      <c r="Y56" s="72">
        <v>175.6</v>
      </c>
      <c r="Z56" s="68">
        <f t="shared" si="15"/>
        <v>4.8358208955223914E-2</v>
      </c>
      <c r="AA56" s="72">
        <v>201</v>
      </c>
      <c r="AB56" s="68">
        <f t="shared" si="16"/>
        <v>3.5548686244204042E-2</v>
      </c>
      <c r="AC56" s="72">
        <v>177.1</v>
      </c>
      <c r="AD56" s="68">
        <f t="shared" si="17"/>
        <v>5.4794520547945202E-2</v>
      </c>
      <c r="AE56" s="47" t="str">
        <f t="shared" si="20"/>
        <v>Post-COVID</v>
      </c>
    </row>
    <row r="57" spans="1:31" x14ac:dyDescent="0.35">
      <c r="A57" s="28">
        <v>44743</v>
      </c>
      <c r="B57" s="1">
        <v>173.4</v>
      </c>
      <c r="C57" s="1">
        <v>174.27500000000001</v>
      </c>
      <c r="D57" s="1">
        <v>176.1</v>
      </c>
      <c r="E57" s="1">
        <v>161.6</v>
      </c>
      <c r="F57" s="1">
        <v>179.6</v>
      </c>
      <c r="G57" s="1">
        <v>169.7</v>
      </c>
      <c r="H57" s="1">
        <v>167.8</v>
      </c>
      <c r="I57" s="1">
        <v>194.6</v>
      </c>
      <c r="J57" s="1">
        <v>171.4</v>
      </c>
      <c r="U57" s="1"/>
      <c r="V57" s="1"/>
      <c r="W57" s="1"/>
      <c r="X57" s="1"/>
      <c r="Y57" s="1"/>
      <c r="Z57" s="1"/>
      <c r="AA57" s="1"/>
      <c r="AB57" s="1"/>
      <c r="AC57" s="1"/>
      <c r="AD57" s="1"/>
    </row>
    <row r="58" spans="1:31" x14ac:dyDescent="0.35">
      <c r="A58" s="28">
        <v>44774</v>
      </c>
      <c r="B58" s="1">
        <v>174.3</v>
      </c>
      <c r="C58" s="1">
        <v>174.40833333333333</v>
      </c>
      <c r="D58" s="1">
        <v>176.8</v>
      </c>
      <c r="E58" s="1">
        <v>161.9</v>
      </c>
      <c r="F58" s="1">
        <v>178.8</v>
      </c>
      <c r="G58" s="1">
        <v>171.2</v>
      </c>
      <c r="H58" s="1">
        <v>169</v>
      </c>
      <c r="I58" s="1">
        <v>195</v>
      </c>
      <c r="J58" s="1">
        <v>172.3</v>
      </c>
      <c r="U58" s="1"/>
      <c r="V58" s="1"/>
      <c r="W58" s="1"/>
      <c r="X58" s="1"/>
      <c r="Y58" s="1"/>
      <c r="Z58" s="1"/>
      <c r="AA58" s="1"/>
      <c r="AB58" s="1"/>
      <c r="AC58" s="1"/>
      <c r="AD58" s="1"/>
    </row>
    <row r="59" spans="1:31" ht="14.5" customHeight="1" x14ac:dyDescent="0.35">
      <c r="A59" s="28">
        <v>44805</v>
      </c>
      <c r="B59" s="1">
        <v>175.3</v>
      </c>
      <c r="C59" s="1">
        <v>175.25833333333333</v>
      </c>
      <c r="D59" s="1">
        <v>177.8</v>
      </c>
      <c r="E59" s="1">
        <v>162.30000000000001</v>
      </c>
      <c r="F59" s="1">
        <v>179.5</v>
      </c>
      <c r="G59" s="1">
        <v>170.9</v>
      </c>
      <c r="H59" s="1">
        <v>169.5</v>
      </c>
      <c r="I59" s="1">
        <v>195.9</v>
      </c>
      <c r="J59" s="1">
        <v>173.1</v>
      </c>
      <c r="U59" s="1"/>
      <c r="V59" s="1"/>
      <c r="W59" s="1"/>
      <c r="X59" s="1"/>
      <c r="Y59" s="1"/>
      <c r="Z59" s="1"/>
      <c r="AA59" s="1"/>
      <c r="AB59" s="1"/>
      <c r="AC59" s="1"/>
      <c r="AD59" s="1"/>
    </row>
    <row r="60" spans="1:31" ht="14.5" customHeight="1" x14ac:dyDescent="0.35">
      <c r="A60" s="28">
        <v>44835</v>
      </c>
      <c r="B60" s="1">
        <v>176.7</v>
      </c>
      <c r="C60" s="1">
        <v>176.47500000000002</v>
      </c>
      <c r="D60" s="1">
        <v>178.7</v>
      </c>
      <c r="E60" s="1">
        <v>162.9</v>
      </c>
      <c r="F60" s="1">
        <v>180.5</v>
      </c>
      <c r="G60" s="1">
        <v>172.1</v>
      </c>
      <c r="H60" s="1">
        <v>171.2</v>
      </c>
      <c r="I60" s="1">
        <v>196.3</v>
      </c>
      <c r="J60" s="1">
        <v>173.4</v>
      </c>
      <c r="U60" s="1"/>
      <c r="V60" s="1"/>
      <c r="W60" s="1"/>
      <c r="X60" s="1"/>
      <c r="Y60" s="1"/>
      <c r="Z60" s="1"/>
      <c r="AA60" s="1"/>
      <c r="AB60" s="1"/>
      <c r="AC60" s="1"/>
      <c r="AD60" s="1"/>
    </row>
    <row r="61" spans="1:31" x14ac:dyDescent="0.35">
      <c r="A61" s="28">
        <v>44866</v>
      </c>
      <c r="B61" s="1">
        <v>176.5</v>
      </c>
      <c r="C61" s="1">
        <v>176.54166666666666</v>
      </c>
      <c r="D61" s="1">
        <v>179.8</v>
      </c>
      <c r="E61" s="1">
        <v>163</v>
      </c>
      <c r="F61" s="1">
        <v>181.3</v>
      </c>
      <c r="G61" s="1">
        <v>173.6</v>
      </c>
      <c r="H61" s="1">
        <v>171.8</v>
      </c>
      <c r="I61" s="1">
        <v>196.9</v>
      </c>
      <c r="J61" s="1">
        <v>173.7</v>
      </c>
      <c r="U61" s="1"/>
      <c r="V61" s="1"/>
      <c r="W61" s="1"/>
      <c r="X61" s="1"/>
      <c r="Y61" s="1"/>
      <c r="Z61" s="1"/>
      <c r="AA61" s="1"/>
      <c r="AB61" s="1"/>
      <c r="AC61" s="1"/>
      <c r="AD61" s="1"/>
    </row>
    <row r="62" spans="1:31" ht="16" customHeight="1" x14ac:dyDescent="0.35">
      <c r="A62" s="28">
        <v>44896</v>
      </c>
      <c r="B62" s="1">
        <v>175.7</v>
      </c>
      <c r="C62" s="1">
        <v>175.625</v>
      </c>
      <c r="D62" s="1">
        <v>181.1</v>
      </c>
      <c r="E62" s="1">
        <v>163.4</v>
      </c>
      <c r="F62" s="1">
        <v>182</v>
      </c>
      <c r="G62" s="1">
        <v>175.8</v>
      </c>
      <c r="H62" s="1">
        <v>170.7</v>
      </c>
      <c r="I62" s="1">
        <v>197.3</v>
      </c>
      <c r="J62" s="1">
        <v>174.1</v>
      </c>
      <c r="Q62" s="14"/>
      <c r="R62" s="57"/>
      <c r="U62" s="1"/>
      <c r="V62" s="1"/>
      <c r="W62" s="1"/>
      <c r="X62" s="1"/>
      <c r="Y62" s="1"/>
      <c r="Z62" s="1"/>
      <c r="AA62" s="1"/>
      <c r="AB62" s="1"/>
      <c r="AC62" s="1"/>
      <c r="AD62" s="1"/>
    </row>
    <row r="63" spans="1:31" ht="14.5" customHeight="1" x14ac:dyDescent="0.35">
      <c r="A63" s="28">
        <v>44927</v>
      </c>
      <c r="B63" s="1">
        <v>176.5</v>
      </c>
      <c r="C63" s="1">
        <v>176.33333333333334</v>
      </c>
      <c r="D63" s="1">
        <v>182.3</v>
      </c>
      <c r="E63" s="1">
        <v>163.6</v>
      </c>
      <c r="F63" s="1">
        <v>182</v>
      </c>
      <c r="G63" s="1">
        <v>178.6</v>
      </c>
      <c r="H63" s="1">
        <v>172.1</v>
      </c>
      <c r="I63" s="1">
        <v>198.2</v>
      </c>
      <c r="J63" s="1">
        <v>174.3</v>
      </c>
      <c r="Q63" s="14"/>
      <c r="R63" s="57"/>
      <c r="U63" s="1"/>
      <c r="V63" s="1"/>
      <c r="W63" s="1"/>
      <c r="X63" s="1"/>
      <c r="Y63" s="1"/>
      <c r="Z63" s="1"/>
      <c r="AA63" s="1"/>
      <c r="AB63" s="1"/>
      <c r="AC63" s="1"/>
      <c r="AD63" s="1"/>
    </row>
    <row r="64" spans="1:31" x14ac:dyDescent="0.35">
      <c r="A64" s="28">
        <v>44958</v>
      </c>
      <c r="B64" s="1">
        <v>177.2</v>
      </c>
      <c r="C64" s="1">
        <v>175.17499999999998</v>
      </c>
      <c r="D64" s="1">
        <v>184.4</v>
      </c>
      <c r="E64" s="1">
        <v>164.2</v>
      </c>
      <c r="F64" s="1">
        <v>182.1</v>
      </c>
      <c r="G64" s="1">
        <v>181</v>
      </c>
      <c r="H64" s="1">
        <v>173.5</v>
      </c>
      <c r="I64" s="1">
        <v>199.5</v>
      </c>
      <c r="J64" s="1">
        <v>175</v>
      </c>
      <c r="Q64" s="14"/>
      <c r="R64" s="57"/>
      <c r="U64" s="1"/>
      <c r="V64" s="1"/>
      <c r="W64" s="1"/>
      <c r="X64" s="1"/>
      <c r="Y64" s="1"/>
      <c r="Z64" s="1"/>
      <c r="AA64" s="1"/>
      <c r="AB64" s="1"/>
      <c r="AC64" s="1"/>
      <c r="AD64" s="1"/>
    </row>
    <row r="65" spans="1:30" x14ac:dyDescent="0.35">
      <c r="A65" s="28">
        <v>44986</v>
      </c>
      <c r="B65" s="1">
        <v>177.2</v>
      </c>
      <c r="C65" s="1">
        <v>175.18333333333331</v>
      </c>
      <c r="D65" s="1">
        <v>184.4</v>
      </c>
      <c r="E65" s="1">
        <v>164.2</v>
      </c>
      <c r="F65" s="1">
        <v>181.9</v>
      </c>
      <c r="G65" s="1">
        <v>181</v>
      </c>
      <c r="H65" s="1">
        <v>173.5</v>
      </c>
      <c r="I65" s="1">
        <v>199.5</v>
      </c>
      <c r="J65" s="1">
        <v>175</v>
      </c>
      <c r="Q65" s="14"/>
      <c r="R65" s="57"/>
      <c r="U65" s="1"/>
      <c r="V65" s="1"/>
      <c r="W65" s="1"/>
      <c r="X65" s="1"/>
      <c r="Y65" s="1"/>
      <c r="Z65" s="1"/>
      <c r="AA65" s="1"/>
      <c r="AB65" s="1"/>
      <c r="AC65" s="1"/>
      <c r="AD65" s="1"/>
    </row>
    <row r="66" spans="1:30" x14ac:dyDescent="0.35">
      <c r="A66" s="28">
        <v>45017</v>
      </c>
      <c r="B66" s="1">
        <v>178.1</v>
      </c>
      <c r="C66" s="1">
        <v>175.97500000000002</v>
      </c>
      <c r="D66" s="1">
        <v>185</v>
      </c>
      <c r="E66" s="1">
        <v>164.5</v>
      </c>
      <c r="F66" s="1">
        <v>181.7</v>
      </c>
      <c r="G66" s="1">
        <v>184</v>
      </c>
      <c r="H66" s="1">
        <v>175.2</v>
      </c>
      <c r="I66" s="1">
        <v>200.6</v>
      </c>
      <c r="J66" s="1">
        <v>176.4</v>
      </c>
      <c r="Q66" s="14"/>
      <c r="R66" s="57"/>
      <c r="U66" s="1"/>
      <c r="V66" s="1"/>
      <c r="W66" s="1"/>
      <c r="X66" s="1"/>
      <c r="Y66" s="1"/>
      <c r="Z66" s="1"/>
      <c r="AA66" s="1"/>
      <c r="AB66" s="1"/>
      <c r="AC66" s="1"/>
      <c r="AD66" s="1"/>
    </row>
    <row r="67" spans="1:30" ht="14.5" customHeight="1" x14ac:dyDescent="0.35">
      <c r="A67" s="28">
        <v>45047</v>
      </c>
      <c r="B67" s="1">
        <v>179.1</v>
      </c>
      <c r="C67" s="1">
        <v>177.31666666666669</v>
      </c>
      <c r="D67" s="1">
        <v>185.7</v>
      </c>
      <c r="E67" s="1">
        <v>164.8</v>
      </c>
      <c r="F67" s="1">
        <v>182.8</v>
      </c>
      <c r="G67" s="1">
        <v>185.2</v>
      </c>
      <c r="H67" s="1">
        <v>175.6</v>
      </c>
      <c r="I67" s="1">
        <v>201</v>
      </c>
      <c r="J67" s="1">
        <v>177.1</v>
      </c>
      <c r="Q67" s="14"/>
      <c r="R67" s="78"/>
      <c r="S67" s="78"/>
      <c r="U67" s="1"/>
      <c r="V67" s="1"/>
      <c r="W67" s="1"/>
      <c r="X67" s="1"/>
      <c r="Y67" s="1"/>
      <c r="Z67" s="1"/>
      <c r="AA67" s="1"/>
      <c r="AB67" s="1"/>
      <c r="AC67" s="1"/>
      <c r="AD67" s="1"/>
    </row>
    <row r="68" spans="1:30" ht="14.5" customHeight="1" x14ac:dyDescent="0.35">
      <c r="R68" s="78"/>
      <c r="S68" s="78"/>
      <c r="U68" s="1"/>
      <c r="V68" s="1"/>
      <c r="W68" s="1"/>
      <c r="X68" s="1"/>
      <c r="Y68" s="1"/>
      <c r="Z68" s="1"/>
      <c r="AA68" s="1"/>
      <c r="AB68" s="1"/>
      <c r="AC68" s="1"/>
      <c r="AD68" s="1"/>
    </row>
    <row r="69" spans="1:30" ht="14.5" customHeight="1" x14ac:dyDescent="0.35">
      <c r="R69" s="78"/>
      <c r="S69" s="78"/>
    </row>
    <row r="70" spans="1:30" ht="14.5" customHeight="1" x14ac:dyDescent="0.35">
      <c r="A70" s="2" t="s">
        <v>0</v>
      </c>
      <c r="B70" t="s">
        <v>34</v>
      </c>
      <c r="J70" s="140" t="s">
        <v>173</v>
      </c>
      <c r="K70" s="140"/>
      <c r="L70" s="140"/>
      <c r="M70" s="140"/>
      <c r="N70" s="140"/>
      <c r="R70" s="78"/>
      <c r="S70" s="78"/>
    </row>
    <row r="71" spans="1:30" ht="14.5" customHeight="1" x14ac:dyDescent="0.35">
      <c r="J71" s="140"/>
      <c r="K71" s="140"/>
      <c r="L71" s="140"/>
      <c r="M71" s="140"/>
      <c r="N71" s="140"/>
      <c r="R71" s="78"/>
      <c r="S71" s="78"/>
    </row>
    <row r="72" spans="1:30" x14ac:dyDescent="0.35">
      <c r="A72" s="2" t="s">
        <v>59</v>
      </c>
    </row>
    <row r="73" spans="1:30" x14ac:dyDescent="0.35">
      <c r="A73" s="3" t="s">
        <v>175</v>
      </c>
      <c r="J73" s="137" t="s">
        <v>167</v>
      </c>
      <c r="K73" s="137" t="s">
        <v>168</v>
      </c>
      <c r="L73" s="137" t="s">
        <v>172</v>
      </c>
      <c r="M73" s="137" t="s">
        <v>169</v>
      </c>
      <c r="N73" s="137" t="s">
        <v>170</v>
      </c>
      <c r="O73" s="138" t="s">
        <v>207</v>
      </c>
    </row>
    <row r="74" spans="1:30" x14ac:dyDescent="0.35">
      <c r="A74" s="3" t="s">
        <v>176</v>
      </c>
      <c r="J74" s="137"/>
      <c r="K74" s="137"/>
      <c r="L74" s="137"/>
      <c r="M74" s="137"/>
      <c r="N74" s="137"/>
      <c r="O74" s="138"/>
    </row>
    <row r="75" spans="1:30" ht="16" x14ac:dyDescent="0.35">
      <c r="A75" s="3" t="s">
        <v>178</v>
      </c>
      <c r="J75" s="77" t="s">
        <v>171</v>
      </c>
      <c r="K75" s="26">
        <f>AVERAGEIFS(N$5:N$56,$AE$5:$AE$56,"Pre-COVID")</f>
        <v>4.2803482214243724E-2</v>
      </c>
      <c r="L75" s="27">
        <f>AVERAGEIFS(N$5:N$56,$AE$5:$AE$56,"COVID Onset")</f>
        <v>5.8404558404558271E-2</v>
      </c>
      <c r="M75" s="26">
        <f>AVERAGEIFS(N$5:N$56,$AE$5:$AE$56,"Lockdown")</f>
        <v>6.150234741784022E-2</v>
      </c>
      <c r="N75" s="26">
        <f>AVERAGEIFS(N$5:N$56,$AE$5:$AE$56,"Post-COVID")</f>
        <v>6.0339982478459717E-2</v>
      </c>
      <c r="O75" s="27">
        <f>M75-K75</f>
        <v>1.8698865203596496E-2</v>
      </c>
    </row>
    <row r="76" spans="1:30" ht="16" customHeight="1" x14ac:dyDescent="0.35">
      <c r="A76" s="3" t="s">
        <v>179</v>
      </c>
      <c r="J76" s="77" t="s">
        <v>51</v>
      </c>
      <c r="K76" s="26">
        <f>AVERAGEIFS(P$5:P$56,$AE$5:$AE$56,"Pre-COVID")</f>
        <v>4.2485090648282063E-2</v>
      </c>
      <c r="L76" s="27">
        <f>AVERAGEIFS(P$5:P$56,$AE$5:$AE$56,"COVID Onset")</f>
        <v>7.4901526341703439E-2</v>
      </c>
      <c r="M76" s="26">
        <f>AVERAGEIFS(P$5:P$56,$AE$5:$AE$56,"Lockdown")</f>
        <v>9.6305269533615734E-2</v>
      </c>
      <c r="N76" s="26">
        <f>AVERAGEIFS(P$5:P$56,$AE$5:$AE$56,"Post-COVID")</f>
        <v>6.4447315689616147E-2</v>
      </c>
      <c r="O76" s="27">
        <f t="shared" ref="O76:O83" si="21">M76-K76</f>
        <v>5.3820178885333671E-2</v>
      </c>
      <c r="Q76" s="93" t="s">
        <v>210</v>
      </c>
      <c r="R76" s="93"/>
      <c r="S76" s="93"/>
    </row>
    <row r="77" spans="1:30" ht="16" x14ac:dyDescent="0.35">
      <c r="J77" s="77" t="s">
        <v>23</v>
      </c>
      <c r="K77" s="26">
        <f>AVERAGEIFS(R$5:R$56,$AE$5:$AE$56,"Pre-COVID")</f>
        <v>6.8495317056636251E-2</v>
      </c>
      <c r="L77" s="27">
        <f>AVERAGEIFS(R$5:R$56,$AE$5:$AE$56,"COVID Onset")</f>
        <v>4.1723666210670363E-2</v>
      </c>
      <c r="M77" s="26">
        <f>AVERAGEIFS(R$5:R$56,$AE$5:$AE$56,"Lockdown")</f>
        <v>3.8461538461538547E-2</v>
      </c>
      <c r="N77" s="26">
        <f>AVERAGEIFS(R$5:R$56,$AE$5:$AE$56,"Post-COVID")</f>
        <v>6.3730460076658349E-2</v>
      </c>
      <c r="O77" s="27">
        <f t="shared" si="21"/>
        <v>-3.0033778595097704E-2</v>
      </c>
      <c r="P77" s="6"/>
      <c r="Q77" s="93"/>
      <c r="R77" s="93"/>
      <c r="S77" s="93"/>
    </row>
    <row r="78" spans="1:30" ht="16" x14ac:dyDescent="0.35">
      <c r="J78" s="77" t="s">
        <v>56</v>
      </c>
      <c r="K78" s="26">
        <f>AVERAGEIFS(T$5:T$56,$AE$5:$AE$56,"Pre-COVID")</f>
        <v>2.5019125305956742E-2</v>
      </c>
      <c r="L78" s="27">
        <f>AVERAGEIFS(T$5:T$56,$AE$5:$AE$56,"COVID Onset")</f>
        <v>4.2536115569823618E-2</v>
      </c>
      <c r="M78" s="26">
        <f>AVERAGEIFS(T$5:T$56,$AE$5:$AE$56,"Lockdown")</f>
        <v>6.7253803042433891E-2</v>
      </c>
      <c r="N78" s="26">
        <f>AVERAGEIFS(T$5:T$56,$AE$5:$AE$56,"Post-COVID")</f>
        <v>8.3600768429880762E-2</v>
      </c>
      <c r="O78" s="27">
        <f>M78-K78</f>
        <v>4.2234677736477148E-2</v>
      </c>
      <c r="P78" s="6"/>
      <c r="Q78" s="93"/>
      <c r="R78" s="93"/>
      <c r="S78" s="93"/>
    </row>
    <row r="79" spans="1:30" ht="16" x14ac:dyDescent="0.35">
      <c r="J79" s="77" t="s">
        <v>197</v>
      </c>
      <c r="K79" s="26">
        <f>AVERAGEIFS(V$5:V$56,$AE$5:$AE$56,"Pre-COVID")</f>
        <v>9.0936455835211889E-3</v>
      </c>
      <c r="L79" s="27">
        <f>AVERAGEIFS(V$5:V$56,$AE$5:$AE$56,"COVID Onset")</f>
        <v>6.5855404438081688E-2</v>
      </c>
      <c r="M79" s="26">
        <f>AVERAGEIFS(V$5:V$56,$AE$5:$AE$56,"Lockdown")</f>
        <v>1.9244476122594278E-2</v>
      </c>
      <c r="N79" s="26">
        <f>AVERAGEIFS(V$5:V$56,$AE$5:$AE$56,"Post-COVID")</f>
        <v>8.2758846286483001E-2</v>
      </c>
      <c r="O79" s="27">
        <f t="shared" si="21"/>
        <v>1.015083053907309E-2</v>
      </c>
      <c r="P79" s="6"/>
    </row>
    <row r="80" spans="1:30" ht="16" x14ac:dyDescent="0.35">
      <c r="J80" s="77" t="s">
        <v>199</v>
      </c>
      <c r="K80" s="26">
        <f>AVERAGEIFS(X$5:X$56,$AE$5:$AE$56,"Pre-COVID")</f>
        <v>5.3352154796967192E-2</v>
      </c>
      <c r="L80" s="27">
        <f>AVERAGEIFS(X$5:X$56,$AE$5:$AE$56,"COVID Onset")</f>
        <v>8.8455772113942954E-2</v>
      </c>
      <c r="M80" s="26">
        <f>AVERAGEIFS(X$5:X$56,$AE$5:$AE$56,"Lockdown")</f>
        <v>0.12043978010994483</v>
      </c>
      <c r="N80" s="26">
        <f>AVERAGEIFS(X$5:X$56,$AE$5:$AE$56,"Post-COVID")</f>
        <v>7.6276647782208662E-2</v>
      </c>
      <c r="O80" s="27">
        <f t="shared" si="21"/>
        <v>6.7087625312977628E-2</v>
      </c>
      <c r="P80" s="6"/>
      <c r="Q80" s="93" t="s">
        <v>211</v>
      </c>
      <c r="R80" s="93"/>
      <c r="S80" s="93"/>
    </row>
    <row r="81" spans="10:19" ht="16" x14ac:dyDescent="0.35">
      <c r="J81" s="77" t="s">
        <v>202</v>
      </c>
      <c r="K81" s="26">
        <f>AVERAGEIFS(Z$5:Z$56,$AE$5:$AE$56,"Pre-COVID")</f>
        <v>4.6719445041667425E-2</v>
      </c>
      <c r="L81" s="27">
        <f>AVERAGEIFS(Z$5:Z$56,$AE$5:$AE$56,"COVID Onset")</f>
        <v>3.691275167785224E-2</v>
      </c>
      <c r="M81" s="26">
        <f>AVERAGEIFS(Z$5:Z$56,$AE$5:$AE$56,"Lockdown")</f>
        <v>3.3644237175216585E-2</v>
      </c>
      <c r="N81" s="26">
        <f>AVERAGEIFS(Z$5:Z$56,$AE$5:$AE$56,"Post-COVID")</f>
        <v>3.837319418486855E-2</v>
      </c>
      <c r="O81" s="27">
        <f t="shared" si="21"/>
        <v>-1.307520786645084E-2</v>
      </c>
      <c r="P81" s="6"/>
      <c r="Q81" s="93"/>
      <c r="R81" s="93"/>
      <c r="S81" s="93"/>
    </row>
    <row r="82" spans="10:19" ht="16" x14ac:dyDescent="0.35">
      <c r="J82" s="77" t="s">
        <v>16</v>
      </c>
      <c r="K82" s="26">
        <f>AVERAGEIFS(AB$5:AB$56,$AE$5:$AE$56,"Pre-COVID")</f>
        <v>4.2569146916593789E-2</v>
      </c>
      <c r="L82" s="27">
        <f>AVERAGEIFS(AB$5:AB$56,$AE$5:$AE$56,"COVID Onset")</f>
        <v>4.70948012232415E-2</v>
      </c>
      <c r="M82" s="26">
        <f>AVERAGEIFS(AB$5:AB$56,$AE$5:$AE$56,"Lockdown")</f>
        <v>9.323583180987205E-2</v>
      </c>
      <c r="N82" s="26">
        <f>AVERAGEIFS(AB$5:AB$56,$AE$5:$AE$56,"Post-COVID")</f>
        <v>5.3284424230531036E-2</v>
      </c>
      <c r="O82" s="27">
        <f t="shared" si="21"/>
        <v>5.066668489327826E-2</v>
      </c>
      <c r="Q82" s="93"/>
      <c r="R82" s="93"/>
      <c r="S82" s="93"/>
    </row>
    <row r="83" spans="10:19" ht="16" x14ac:dyDescent="0.35">
      <c r="J83" s="77" t="s">
        <v>205</v>
      </c>
      <c r="K83" s="26">
        <f>AVERAGEIFS(AD$5:AD$56,$AE$5:$AE$56,"Pre-COVID")</f>
        <v>5.9839317450695914E-2</v>
      </c>
      <c r="L83" s="27">
        <f>AVERAGEIFS(AD$5:AD$56,$AE$5:$AE$56,"COVID Onset")</f>
        <v>3.8589487691284008E-2</v>
      </c>
      <c r="M83" s="26">
        <f>AVERAGEIFS(AD$5:AD$56,$AE$5:$AE$56,"Lockdown")</f>
        <v>3.0804749340369586E-2</v>
      </c>
      <c r="N83" s="26">
        <f>AVERAGEIFS(AD$5:AD$56,$AE$5:$AE$56,"Post-COVID")</f>
        <v>3.8085597420307343E-2</v>
      </c>
      <c r="O83" s="27">
        <f t="shared" si="21"/>
        <v>-2.9034568110326328E-2</v>
      </c>
    </row>
    <row r="84" spans="10:19" x14ac:dyDescent="0.35">
      <c r="R84" s="14"/>
      <c r="S84" s="14"/>
    </row>
    <row r="85" spans="10:19" x14ac:dyDescent="0.35">
      <c r="R85" s="14"/>
      <c r="S85" s="14"/>
    </row>
    <row r="86" spans="10:19" x14ac:dyDescent="0.35">
      <c r="R86" s="14"/>
      <c r="S86" s="14"/>
    </row>
    <row r="87" spans="10:19" x14ac:dyDescent="0.35">
      <c r="R87" s="14"/>
      <c r="S87" s="14"/>
    </row>
    <row r="115" spans="4:33" ht="18.5" x14ac:dyDescent="0.35">
      <c r="S115" s="45" t="s">
        <v>156</v>
      </c>
    </row>
    <row r="119" spans="4:33" x14ac:dyDescent="0.35">
      <c r="J119" s="139" t="s">
        <v>174</v>
      </c>
      <c r="K119" s="139"/>
      <c r="L119" s="139"/>
      <c r="M119" s="139"/>
      <c r="N119" s="139"/>
      <c r="O119" s="35"/>
    </row>
    <row r="120" spans="4:33" x14ac:dyDescent="0.35">
      <c r="J120" s="139"/>
      <c r="K120" s="139"/>
      <c r="L120" s="139"/>
      <c r="M120" s="139"/>
      <c r="N120" s="139"/>
      <c r="O120" s="35"/>
    </row>
    <row r="121" spans="4:33" ht="18.5" x14ac:dyDescent="0.35">
      <c r="F121" s="45"/>
      <c r="G121" s="45" t="s">
        <v>152</v>
      </c>
      <c r="J121" s="35"/>
      <c r="K121" s="35"/>
      <c r="L121" s="35"/>
      <c r="M121" s="35"/>
      <c r="N121" s="35"/>
      <c r="O121" s="35"/>
      <c r="R121" s="93" t="s">
        <v>234</v>
      </c>
      <c r="S121" s="93"/>
      <c r="T121" s="93"/>
    </row>
    <row r="122" spans="4:33" ht="18.5" customHeight="1" x14ac:dyDescent="0.35">
      <c r="J122" s="141" t="s">
        <v>27</v>
      </c>
      <c r="K122" s="142" t="s">
        <v>27</v>
      </c>
      <c r="L122" s="141" t="s">
        <v>27</v>
      </c>
      <c r="M122" s="142" t="s">
        <v>56</v>
      </c>
      <c r="N122" s="35"/>
      <c r="O122" s="35"/>
      <c r="R122" s="93"/>
      <c r="S122" s="93"/>
      <c r="T122" s="93"/>
    </row>
    <row r="123" spans="4:33" ht="14.5" customHeight="1" x14ac:dyDescent="0.5">
      <c r="D123" s="14"/>
      <c r="E123" s="14"/>
      <c r="F123" s="14"/>
      <c r="G123" s="14"/>
      <c r="H123" s="14"/>
      <c r="J123" s="141"/>
      <c r="K123" s="142"/>
      <c r="L123" s="141"/>
      <c r="M123" s="142"/>
      <c r="N123" s="35"/>
      <c r="O123" s="35"/>
      <c r="R123" s="93"/>
      <c r="S123" s="93"/>
      <c r="T123" s="93"/>
      <c r="AG123" s="64" t="s">
        <v>156</v>
      </c>
    </row>
    <row r="124" spans="4:33" ht="16" x14ac:dyDescent="0.35">
      <c r="D124" s="14"/>
      <c r="E124" s="14"/>
      <c r="F124" s="14"/>
      <c r="G124" s="14"/>
      <c r="H124" s="14"/>
      <c r="J124" s="42">
        <v>8.8499999999999995E-2</v>
      </c>
      <c r="K124" s="42">
        <v>0.12039999999999999</v>
      </c>
      <c r="L124" s="43" t="s">
        <v>208</v>
      </c>
      <c r="M124" s="42">
        <v>8.3599999999999994E-2</v>
      </c>
      <c r="N124" s="35"/>
      <c r="O124" s="35"/>
      <c r="R124" s="93"/>
      <c r="S124" s="93"/>
      <c r="T124" s="93"/>
      <c r="AG124" s="63"/>
    </row>
    <row r="125" spans="4:33" ht="16" x14ac:dyDescent="0.35">
      <c r="D125" s="14"/>
      <c r="E125" s="14"/>
      <c r="F125" s="14"/>
      <c r="G125" s="14"/>
      <c r="H125" s="14"/>
      <c r="J125" s="38" t="s">
        <v>175</v>
      </c>
      <c r="K125" s="135" t="s">
        <v>209</v>
      </c>
      <c r="L125" s="38" t="s">
        <v>181</v>
      </c>
      <c r="M125" s="38" t="s">
        <v>177</v>
      </c>
      <c r="N125" s="35"/>
      <c r="O125" s="35"/>
      <c r="R125" s="93"/>
      <c r="S125" s="93"/>
      <c r="T125" s="93"/>
      <c r="AG125" s="63"/>
    </row>
    <row r="126" spans="4:33" x14ac:dyDescent="0.35">
      <c r="D126" s="14"/>
      <c r="E126" s="14"/>
      <c r="F126" s="14"/>
      <c r="G126" s="14"/>
      <c r="H126" s="14"/>
      <c r="J126" s="35"/>
      <c r="K126" s="135"/>
      <c r="L126" s="35"/>
      <c r="M126" s="35"/>
      <c r="N126" s="35"/>
      <c r="O126" s="35"/>
      <c r="R126" s="93"/>
      <c r="S126" s="93"/>
      <c r="T126" s="93"/>
      <c r="AG126" s="65" t="s">
        <v>182</v>
      </c>
    </row>
    <row r="127" spans="4:33" ht="14.5" customHeight="1" x14ac:dyDescent="0.35">
      <c r="J127" s="35"/>
      <c r="K127" s="35"/>
      <c r="L127" s="35"/>
      <c r="M127" s="35"/>
      <c r="N127" s="35"/>
      <c r="O127" s="35"/>
      <c r="R127" s="59"/>
      <c r="AG127" s="63"/>
    </row>
    <row r="128" spans="4:33" x14ac:dyDescent="0.35">
      <c r="J128" s="35"/>
      <c r="K128" s="35"/>
      <c r="L128" s="35"/>
      <c r="M128" s="35"/>
      <c r="N128" s="35"/>
      <c r="O128" s="35"/>
      <c r="R128" s="59"/>
      <c r="AG128" s="99" t="s">
        <v>184</v>
      </c>
    </row>
    <row r="129" spans="4:34" x14ac:dyDescent="0.35">
      <c r="D129" s="14"/>
      <c r="E129" s="14"/>
      <c r="F129" s="14"/>
      <c r="G129" s="14"/>
      <c r="H129" s="14"/>
      <c r="J129" s="35"/>
      <c r="K129" s="35"/>
      <c r="L129" s="35"/>
      <c r="M129" s="35"/>
      <c r="N129" s="35"/>
      <c r="O129" s="35"/>
      <c r="R129" s="59"/>
      <c r="AG129" s="99"/>
    </row>
    <row r="130" spans="4:34" ht="14.5" customHeight="1" x14ac:dyDescent="0.35">
      <c r="D130" s="14"/>
      <c r="E130" s="14"/>
      <c r="F130" s="14"/>
      <c r="G130" s="14"/>
      <c r="H130" s="14"/>
      <c r="J130" s="35"/>
      <c r="K130" s="35"/>
      <c r="L130" s="35"/>
      <c r="M130" s="35"/>
      <c r="N130" s="35"/>
      <c r="O130" s="35"/>
      <c r="R130" s="133" t="s">
        <v>213</v>
      </c>
      <c r="S130" s="133"/>
      <c r="T130" s="133"/>
      <c r="AG130" s="99"/>
      <c r="AH130" s="59"/>
    </row>
    <row r="131" spans="4:34" x14ac:dyDescent="0.35">
      <c r="D131" s="14"/>
      <c r="E131" s="14"/>
      <c r="F131" s="14"/>
      <c r="G131" s="93" t="s">
        <v>219</v>
      </c>
      <c r="H131" s="93"/>
      <c r="J131" s="35"/>
      <c r="K131" s="35"/>
      <c r="L131" s="35"/>
      <c r="M131" s="35"/>
      <c r="N131" s="35"/>
      <c r="O131" s="35"/>
      <c r="R131" s="133"/>
      <c r="S131" s="133"/>
      <c r="T131" s="133"/>
      <c r="AG131" s="99"/>
      <c r="AH131" s="59"/>
    </row>
    <row r="132" spans="4:34" x14ac:dyDescent="0.35">
      <c r="G132" s="93"/>
      <c r="H132" s="93"/>
      <c r="J132" s="35"/>
      <c r="K132" s="35"/>
      <c r="L132" s="35"/>
      <c r="M132" s="35"/>
      <c r="N132" s="35"/>
      <c r="O132" s="35"/>
      <c r="R132" s="133"/>
      <c r="S132" s="133"/>
      <c r="T132" s="133"/>
      <c r="AG132" s="99"/>
      <c r="AH132" s="59"/>
    </row>
    <row r="133" spans="4:34" x14ac:dyDescent="0.35">
      <c r="G133" s="93"/>
      <c r="H133" s="93"/>
      <c r="J133" s="35"/>
      <c r="K133" s="35"/>
      <c r="L133" s="35"/>
      <c r="M133" s="35"/>
      <c r="N133" s="35"/>
      <c r="O133" s="35"/>
      <c r="R133" s="133"/>
      <c r="S133" s="133"/>
      <c r="T133" s="133"/>
      <c r="AG133" s="99"/>
      <c r="AH133" s="59"/>
    </row>
    <row r="134" spans="4:34" x14ac:dyDescent="0.35">
      <c r="D134" s="14"/>
      <c r="E134" s="14"/>
      <c r="F134" s="14"/>
      <c r="G134" s="93"/>
      <c r="H134" s="93"/>
      <c r="J134" s="35"/>
      <c r="K134" s="35"/>
      <c r="L134" s="35"/>
      <c r="M134" s="35"/>
      <c r="N134" s="35"/>
      <c r="O134" s="35"/>
      <c r="R134" s="44"/>
      <c r="S134" s="44"/>
      <c r="T134" s="44"/>
      <c r="AG134" s="99"/>
    </row>
    <row r="135" spans="4:34" x14ac:dyDescent="0.35">
      <c r="D135" s="14"/>
      <c r="E135" s="14"/>
      <c r="F135" s="14"/>
      <c r="G135" s="93"/>
      <c r="H135" s="93"/>
      <c r="J135" s="35"/>
      <c r="K135" s="35"/>
      <c r="L135" s="35"/>
      <c r="M135" s="35"/>
      <c r="N135" s="35"/>
      <c r="O135" s="35"/>
      <c r="R135" s="133" t="s">
        <v>214</v>
      </c>
      <c r="S135" s="133"/>
      <c r="T135" s="133"/>
      <c r="AG135" s="99"/>
      <c r="AH135" s="57"/>
    </row>
    <row r="136" spans="4:34" x14ac:dyDescent="0.35">
      <c r="D136" s="14"/>
      <c r="E136" s="14"/>
      <c r="F136" s="14"/>
      <c r="G136" s="93"/>
      <c r="H136" s="93"/>
      <c r="J136" s="35"/>
      <c r="K136" s="35"/>
      <c r="L136" s="35"/>
      <c r="M136" s="35"/>
      <c r="N136" s="35"/>
      <c r="O136" s="35"/>
      <c r="R136" s="133"/>
      <c r="S136" s="133"/>
      <c r="T136" s="133"/>
      <c r="AG136" s="99"/>
      <c r="AH136" s="57"/>
    </row>
    <row r="137" spans="4:34" x14ac:dyDescent="0.35">
      <c r="G137" s="93"/>
      <c r="H137" s="93"/>
      <c r="J137" s="35"/>
      <c r="K137" s="35"/>
      <c r="L137" s="35"/>
      <c r="M137" s="35"/>
      <c r="N137" s="35"/>
      <c r="O137" s="35"/>
      <c r="R137" s="133"/>
      <c r="S137" s="133"/>
      <c r="T137" s="133"/>
      <c r="AG137" s="99"/>
      <c r="AH137" s="57"/>
    </row>
    <row r="138" spans="4:34" x14ac:dyDescent="0.35">
      <c r="D138" s="44"/>
      <c r="E138" s="44"/>
      <c r="F138" s="44"/>
      <c r="G138" s="93"/>
      <c r="H138" s="93"/>
      <c r="J138" s="35"/>
      <c r="K138" s="35"/>
      <c r="L138" s="35"/>
      <c r="M138" s="35"/>
      <c r="N138" s="35"/>
      <c r="O138" s="35"/>
      <c r="R138" s="133"/>
      <c r="S138" s="133"/>
      <c r="T138" s="133"/>
      <c r="AG138" s="99"/>
    </row>
    <row r="139" spans="4:34" x14ac:dyDescent="0.35">
      <c r="D139" s="44"/>
      <c r="E139" s="44"/>
      <c r="F139" s="44"/>
      <c r="G139" s="93"/>
      <c r="H139" s="93"/>
      <c r="J139" s="35"/>
      <c r="K139" s="35"/>
      <c r="L139" s="35"/>
      <c r="M139" s="35"/>
      <c r="N139" s="35"/>
      <c r="O139" s="35"/>
      <c r="R139" s="59"/>
      <c r="AG139" s="99"/>
      <c r="AH139" s="57"/>
    </row>
    <row r="140" spans="4:34" x14ac:dyDescent="0.35">
      <c r="D140" s="44"/>
      <c r="E140" s="44"/>
      <c r="F140" s="44"/>
      <c r="G140" s="93"/>
      <c r="H140" s="93"/>
      <c r="J140" s="35"/>
      <c r="K140" s="35"/>
      <c r="L140" s="35"/>
      <c r="M140" s="35"/>
      <c r="N140" s="35"/>
      <c r="O140" s="35"/>
      <c r="R140" s="93" t="s">
        <v>215</v>
      </c>
      <c r="S140" s="93"/>
      <c r="T140" s="93"/>
      <c r="AG140" s="99"/>
      <c r="AH140" s="57"/>
    </row>
    <row r="141" spans="4:34" x14ac:dyDescent="0.35">
      <c r="D141" s="44"/>
      <c r="E141" s="44"/>
      <c r="F141" s="44"/>
      <c r="G141" s="93"/>
      <c r="H141" s="93"/>
      <c r="J141" s="35"/>
      <c r="K141" s="35"/>
      <c r="L141" s="35"/>
      <c r="M141" s="35"/>
      <c r="N141" s="35"/>
      <c r="O141" s="35"/>
      <c r="R141" s="93"/>
      <c r="S141" s="93"/>
      <c r="T141" s="93"/>
      <c r="AG141" s="99"/>
    </row>
    <row r="142" spans="4:34" x14ac:dyDescent="0.35">
      <c r="G142" s="93"/>
      <c r="H142" s="93"/>
      <c r="J142" s="35"/>
      <c r="K142" s="35"/>
      <c r="L142" s="35"/>
      <c r="M142" s="35"/>
      <c r="N142" s="35"/>
      <c r="O142" s="35"/>
      <c r="R142" s="93"/>
      <c r="S142" s="93"/>
      <c r="T142" s="93"/>
      <c r="AG142" s="63"/>
      <c r="AH142" s="59"/>
    </row>
    <row r="143" spans="4:34" x14ac:dyDescent="0.35">
      <c r="G143" s="93"/>
      <c r="H143" s="93"/>
      <c r="J143" s="35"/>
      <c r="K143" s="35"/>
      <c r="L143" s="35"/>
      <c r="M143" s="35"/>
      <c r="N143" s="35"/>
      <c r="O143" s="35"/>
      <c r="AG143" s="66" t="s">
        <v>183</v>
      </c>
      <c r="AH143" s="59"/>
    </row>
    <row r="144" spans="4:34" ht="14.5" customHeight="1" x14ac:dyDescent="0.35">
      <c r="G144" s="93"/>
      <c r="H144" s="93"/>
      <c r="J144" s="35"/>
      <c r="K144" s="35"/>
      <c r="L144" s="35"/>
      <c r="M144" s="35"/>
      <c r="N144" s="35"/>
      <c r="O144" s="35"/>
      <c r="R144" s="93" t="s">
        <v>217</v>
      </c>
      <c r="S144" s="93"/>
      <c r="T144" s="93"/>
      <c r="AG144" s="63"/>
    </row>
    <row r="145" spans="7:33" x14ac:dyDescent="0.35">
      <c r="G145" s="93"/>
      <c r="H145" s="93"/>
      <c r="J145" s="35"/>
      <c r="K145" s="35"/>
      <c r="L145" s="35"/>
      <c r="M145" s="35"/>
      <c r="N145" s="35"/>
      <c r="O145" s="35"/>
      <c r="R145" s="93"/>
      <c r="S145" s="93"/>
      <c r="T145" s="93"/>
      <c r="AG145" s="136" t="s">
        <v>185</v>
      </c>
    </row>
    <row r="146" spans="7:33" x14ac:dyDescent="0.35">
      <c r="G146" s="93"/>
      <c r="H146" s="93"/>
      <c r="J146" s="35"/>
      <c r="K146" s="35"/>
      <c r="L146" s="35"/>
      <c r="M146" s="35"/>
      <c r="N146" s="35"/>
      <c r="O146" s="35"/>
      <c r="R146" s="93"/>
      <c r="S146" s="93"/>
      <c r="T146" s="93"/>
      <c r="AG146" s="136"/>
    </row>
    <row r="147" spans="7:33" x14ac:dyDescent="0.35">
      <c r="G147" s="93"/>
      <c r="H147" s="93"/>
      <c r="J147" s="35"/>
      <c r="K147" s="35"/>
      <c r="L147" s="35"/>
      <c r="M147" s="35"/>
      <c r="N147" s="35"/>
      <c r="O147" s="35"/>
      <c r="R147" s="93"/>
      <c r="S147" s="93"/>
      <c r="T147" s="93"/>
      <c r="AG147" s="136"/>
    </row>
    <row r="148" spans="7:33" x14ac:dyDescent="0.35">
      <c r="G148" s="93"/>
      <c r="H148" s="93"/>
      <c r="J148" s="35"/>
      <c r="K148" s="35"/>
      <c r="L148" s="35"/>
      <c r="M148" s="35"/>
      <c r="N148" s="35"/>
      <c r="O148" s="35"/>
      <c r="R148" s="93"/>
      <c r="S148" s="93"/>
      <c r="T148" s="93"/>
      <c r="AG148" s="136"/>
    </row>
    <row r="149" spans="7:33" x14ac:dyDescent="0.35">
      <c r="G149" s="93"/>
      <c r="H149" s="93"/>
      <c r="J149" s="35"/>
      <c r="K149" s="35"/>
      <c r="L149" s="35"/>
      <c r="M149" s="35"/>
      <c r="N149" s="35"/>
      <c r="O149" s="35"/>
      <c r="R149" s="60"/>
      <c r="S149" s="63"/>
      <c r="T149" s="63"/>
      <c r="AG149" s="136"/>
    </row>
    <row r="150" spans="7:33" x14ac:dyDescent="0.35">
      <c r="G150" s="93"/>
      <c r="H150" s="93"/>
      <c r="J150" s="35"/>
      <c r="K150" s="35"/>
      <c r="L150" s="35"/>
      <c r="M150" s="35"/>
      <c r="N150" s="35"/>
      <c r="O150" s="35"/>
      <c r="R150" s="99" t="s">
        <v>216</v>
      </c>
      <c r="S150" s="99"/>
      <c r="T150" s="99"/>
      <c r="AG150" s="136"/>
    </row>
    <row r="151" spans="7:33" x14ac:dyDescent="0.35">
      <c r="G151" s="93"/>
      <c r="H151" s="93"/>
      <c r="J151" s="35"/>
      <c r="K151" s="35"/>
      <c r="L151" s="35"/>
      <c r="M151" s="35"/>
      <c r="N151" s="35"/>
      <c r="O151" s="35"/>
      <c r="R151" s="99"/>
      <c r="S151" s="99"/>
      <c r="T151" s="99"/>
      <c r="AG151" s="136"/>
    </row>
    <row r="152" spans="7:33" x14ac:dyDescent="0.35">
      <c r="G152" s="93"/>
      <c r="H152" s="93"/>
      <c r="J152" s="35"/>
      <c r="K152" s="35"/>
      <c r="L152" s="35"/>
      <c r="M152" s="35"/>
      <c r="N152" s="35"/>
      <c r="O152" s="35"/>
      <c r="R152" s="99"/>
      <c r="S152" s="99"/>
      <c r="T152" s="99"/>
      <c r="AG152" s="136"/>
    </row>
    <row r="153" spans="7:33" x14ac:dyDescent="0.35">
      <c r="G153" s="93"/>
      <c r="H153" s="93"/>
      <c r="J153" s="35"/>
      <c r="K153" s="35"/>
      <c r="L153" s="35"/>
      <c r="M153" s="35"/>
      <c r="N153" s="35"/>
      <c r="O153" s="35"/>
      <c r="R153" s="99"/>
      <c r="S153" s="99"/>
      <c r="T153" s="99"/>
      <c r="AG153" s="63"/>
    </row>
    <row r="154" spans="7:33" x14ac:dyDescent="0.35">
      <c r="G154" s="93"/>
      <c r="H154" s="93"/>
      <c r="J154" s="35"/>
      <c r="K154" s="35"/>
      <c r="L154" s="35"/>
      <c r="M154" s="35"/>
      <c r="N154" s="35"/>
      <c r="O154" s="35"/>
      <c r="R154" s="99"/>
      <c r="S154" s="99"/>
      <c r="T154" s="99"/>
      <c r="AG154" s="66" t="s">
        <v>186</v>
      </c>
    </row>
    <row r="155" spans="7:33" x14ac:dyDescent="0.35">
      <c r="G155" s="93"/>
      <c r="H155" s="93"/>
      <c r="J155" s="35"/>
      <c r="K155" s="35"/>
      <c r="L155" s="35"/>
      <c r="M155" s="35"/>
      <c r="N155" s="35"/>
      <c r="O155" s="35"/>
      <c r="R155" s="57"/>
      <c r="S155" s="46"/>
      <c r="T155" s="46"/>
      <c r="AG155" s="63"/>
    </row>
    <row r="156" spans="7:33" x14ac:dyDescent="0.35">
      <c r="G156" s="93"/>
      <c r="H156" s="93"/>
      <c r="J156" s="35"/>
      <c r="K156" s="35"/>
      <c r="L156" s="35"/>
      <c r="M156" s="35"/>
      <c r="N156" s="35"/>
      <c r="O156" s="35"/>
      <c r="R156" s="93" t="s">
        <v>218</v>
      </c>
      <c r="S156" s="93"/>
      <c r="T156" s="93"/>
      <c r="AG156" s="93" t="s">
        <v>187</v>
      </c>
    </row>
    <row r="157" spans="7:33" x14ac:dyDescent="0.35">
      <c r="G157" s="93"/>
      <c r="H157" s="93"/>
      <c r="J157" s="35"/>
      <c r="K157" s="35"/>
      <c r="L157" s="35"/>
      <c r="M157" s="35"/>
      <c r="N157" s="35"/>
      <c r="O157" s="35"/>
      <c r="R157" s="93"/>
      <c r="S157" s="93"/>
      <c r="T157" s="93"/>
      <c r="AG157" s="93"/>
    </row>
    <row r="158" spans="7:33" x14ac:dyDescent="0.35">
      <c r="J158" s="35"/>
      <c r="K158" s="35"/>
      <c r="L158" s="35"/>
      <c r="M158" s="35"/>
      <c r="N158" s="35"/>
      <c r="O158" s="35"/>
      <c r="Q158" s="46"/>
      <c r="R158" s="93"/>
      <c r="S158" s="93"/>
      <c r="T158" s="93"/>
      <c r="AG158" s="93"/>
    </row>
    <row r="159" spans="7:33" x14ac:dyDescent="0.35">
      <c r="J159" s="35"/>
      <c r="K159" s="35"/>
      <c r="L159" s="35"/>
      <c r="M159" s="35"/>
      <c r="N159" s="35"/>
      <c r="O159" s="35"/>
      <c r="Q159" s="46"/>
      <c r="R159" s="93"/>
      <c r="S159" s="93"/>
      <c r="T159" s="93"/>
    </row>
    <row r="160" spans="7:33" x14ac:dyDescent="0.35">
      <c r="J160" s="35"/>
      <c r="K160" s="35"/>
      <c r="L160" s="35"/>
      <c r="M160" s="35"/>
      <c r="N160" s="35"/>
      <c r="O160" s="35"/>
      <c r="Q160" s="46"/>
      <c r="R160" s="93"/>
      <c r="S160" s="93"/>
      <c r="T160" s="93"/>
    </row>
    <row r="161" spans="10:20" x14ac:dyDescent="0.35">
      <c r="J161" s="35"/>
      <c r="K161" s="35"/>
      <c r="L161" s="35"/>
      <c r="M161" s="35"/>
      <c r="N161" s="35"/>
      <c r="O161" s="35"/>
      <c r="Q161" s="46"/>
      <c r="R161" s="93"/>
      <c r="S161" s="93"/>
      <c r="T161" s="93"/>
    </row>
    <row r="162" spans="10:20" x14ac:dyDescent="0.35">
      <c r="J162" s="35"/>
      <c r="K162" s="35"/>
      <c r="L162" s="35"/>
      <c r="M162" s="35"/>
      <c r="N162" s="35"/>
      <c r="O162" s="35"/>
      <c r="Q162" s="46"/>
      <c r="R162" s="46"/>
      <c r="S162" s="46"/>
    </row>
    <row r="163" spans="10:20" x14ac:dyDescent="0.35">
      <c r="J163" s="35"/>
      <c r="K163" s="35"/>
      <c r="L163" s="35"/>
      <c r="M163" s="35"/>
      <c r="N163" s="35"/>
      <c r="O163" s="35"/>
      <c r="Q163" s="46"/>
      <c r="R163" s="46"/>
      <c r="S163" s="46"/>
    </row>
    <row r="164" spans="10:20" ht="18.5" x14ac:dyDescent="0.35">
      <c r="J164" s="35"/>
      <c r="K164" s="35"/>
      <c r="L164" s="35"/>
      <c r="M164" s="35"/>
      <c r="N164" s="35"/>
      <c r="O164" s="35"/>
      <c r="Q164" s="46"/>
      <c r="R164" s="46"/>
      <c r="S164" s="91" t="s">
        <v>236</v>
      </c>
    </row>
    <row r="165" spans="10:20" x14ac:dyDescent="0.35">
      <c r="J165" s="35"/>
      <c r="K165" s="35"/>
      <c r="L165" s="35"/>
      <c r="M165" s="35"/>
      <c r="N165" s="35"/>
      <c r="O165" s="35"/>
      <c r="Q165" s="46"/>
      <c r="R165" s="46"/>
      <c r="S165" s="46"/>
    </row>
    <row r="166" spans="10:20" x14ac:dyDescent="0.35">
      <c r="J166" s="35"/>
      <c r="K166" s="35"/>
      <c r="L166" s="35"/>
      <c r="M166" s="35"/>
      <c r="N166" s="35"/>
      <c r="O166" s="35"/>
      <c r="R166" s="93" t="s">
        <v>235</v>
      </c>
      <c r="S166" s="93"/>
      <c r="T166" s="93"/>
    </row>
    <row r="167" spans="10:20" x14ac:dyDescent="0.35">
      <c r="J167" s="35"/>
      <c r="K167" s="35"/>
      <c r="L167" s="35"/>
      <c r="M167" s="35"/>
      <c r="N167" s="35"/>
      <c r="O167" s="35"/>
      <c r="R167" s="93"/>
      <c r="S167" s="93"/>
      <c r="T167" s="93"/>
    </row>
    <row r="168" spans="10:20" x14ac:dyDescent="0.35">
      <c r="J168" s="35"/>
      <c r="K168" s="35"/>
      <c r="L168" s="35"/>
      <c r="M168" s="35"/>
      <c r="N168" s="35"/>
      <c r="O168" s="35"/>
      <c r="R168" s="93"/>
      <c r="S168" s="93"/>
      <c r="T168" s="93"/>
    </row>
    <row r="169" spans="10:20" x14ac:dyDescent="0.35">
      <c r="R169" s="93"/>
      <c r="S169" s="93"/>
      <c r="T169" s="93"/>
    </row>
    <row r="171" spans="10:20" x14ac:dyDescent="0.35">
      <c r="K171" s="93" t="s">
        <v>212</v>
      </c>
      <c r="L171" s="93"/>
      <c r="M171" s="93"/>
      <c r="N171" s="93"/>
    </row>
    <row r="172" spans="10:20" x14ac:dyDescent="0.35">
      <c r="K172" s="93"/>
      <c r="L172" s="93"/>
      <c r="M172" s="93"/>
      <c r="N172" s="93"/>
    </row>
    <row r="173" spans="10:20" x14ac:dyDescent="0.35">
      <c r="K173" s="93"/>
      <c r="L173" s="93"/>
      <c r="M173" s="93"/>
      <c r="N173" s="93"/>
    </row>
  </sheetData>
  <mergeCells count="28">
    <mergeCell ref="G131:H157"/>
    <mergeCell ref="N73:N74"/>
    <mergeCell ref="O73:O74"/>
    <mergeCell ref="J119:N120"/>
    <mergeCell ref="J70:N71"/>
    <mergeCell ref="J73:J74"/>
    <mergeCell ref="K73:K74"/>
    <mergeCell ref="L73:L74"/>
    <mergeCell ref="M73:M74"/>
    <mergeCell ref="J122:J123"/>
    <mergeCell ref="K122:K123"/>
    <mergeCell ref="L122:L123"/>
    <mergeCell ref="M122:M123"/>
    <mergeCell ref="K171:N173"/>
    <mergeCell ref="AG145:AG152"/>
    <mergeCell ref="AG156:AG158"/>
    <mergeCell ref="AG128:AG141"/>
    <mergeCell ref="R130:T133"/>
    <mergeCell ref="R135:T138"/>
    <mergeCell ref="R140:T142"/>
    <mergeCell ref="R144:T148"/>
    <mergeCell ref="R166:T169"/>
    <mergeCell ref="Q76:S78"/>
    <mergeCell ref="Q80:S82"/>
    <mergeCell ref="K125:K126"/>
    <mergeCell ref="R150:T154"/>
    <mergeCell ref="R156:T161"/>
    <mergeCell ref="R121:T126"/>
  </mergeCells>
  <conditionalFormatting sqref="K75:K83">
    <cfRule type="colorScale" priority="5">
      <colorScale>
        <cfvo type="min"/>
        <cfvo type="percentile" val="50"/>
        <cfvo type="max"/>
        <color rgb="FFF8696B"/>
        <color rgb="FFFFEB84"/>
        <color rgb="FF63BE7B"/>
      </colorScale>
    </cfRule>
  </conditionalFormatting>
  <conditionalFormatting sqref="L75:L83">
    <cfRule type="colorScale" priority="4">
      <colorScale>
        <cfvo type="min"/>
        <cfvo type="percentile" val="50"/>
        <cfvo type="max"/>
        <color rgb="FFF8696B"/>
        <color rgb="FFFFEB84"/>
        <color rgb="FF63BE7B"/>
      </colorScale>
    </cfRule>
  </conditionalFormatting>
  <conditionalFormatting sqref="M75:M83">
    <cfRule type="colorScale" priority="3">
      <colorScale>
        <cfvo type="min"/>
        <cfvo type="percentile" val="50"/>
        <cfvo type="max"/>
        <color rgb="FFF8696B"/>
        <color rgb="FFFFEB84"/>
        <color rgb="FF63BE7B"/>
      </colorScale>
    </cfRule>
  </conditionalFormatting>
  <conditionalFormatting sqref="N75:N83">
    <cfRule type="colorScale" priority="2">
      <colorScale>
        <cfvo type="min"/>
        <cfvo type="percentile" val="50"/>
        <cfvo type="max"/>
        <color rgb="FFF8696B"/>
        <color rgb="FFFFEB84"/>
        <color rgb="FF63BE7B"/>
      </colorScale>
    </cfRule>
  </conditionalFormatting>
  <conditionalFormatting sqref="O75:O83">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3"/>
  <ignoredErrors>
    <ignoredError sqref="K76:L76" formula="1"/>
  </ignoredErrors>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49CC4-5A39-4F4C-B2BA-F99FE94893D3}">
  <sheetPr filterMode="1"/>
  <dimension ref="A1:AB118"/>
  <sheetViews>
    <sheetView topLeftCell="E86" zoomScale="75" zoomScaleNormal="100" workbookViewId="0">
      <selection activeCell="Z112" sqref="Z112"/>
    </sheetView>
  </sheetViews>
  <sheetFormatPr defaultRowHeight="14.5" x14ac:dyDescent="0.35"/>
  <cols>
    <col min="1" max="23" width="9.453125" customWidth="1"/>
  </cols>
  <sheetData>
    <row r="1" spans="1:28" ht="14.5" customHeight="1" x14ac:dyDescent="0.35">
      <c r="W1" s="93" t="s">
        <v>228</v>
      </c>
      <c r="X1" s="93"/>
      <c r="Y1" s="93"/>
      <c r="Z1" s="93"/>
      <c r="AA1" s="93"/>
      <c r="AB1" s="93"/>
    </row>
    <row r="2" spans="1:28" x14ac:dyDescent="0.35">
      <c r="F2" s="144" t="s">
        <v>222</v>
      </c>
      <c r="G2" s="144"/>
      <c r="H2" s="144"/>
      <c r="I2" s="79"/>
      <c r="O2" s="144" t="s">
        <v>225</v>
      </c>
      <c r="P2" s="144"/>
      <c r="Q2" s="144"/>
      <c r="W2" s="93"/>
      <c r="X2" s="93"/>
      <c r="Y2" s="93"/>
      <c r="Z2" s="93"/>
      <c r="AA2" s="93"/>
      <c r="AB2" s="93"/>
    </row>
    <row r="3" spans="1:28" x14ac:dyDescent="0.35">
      <c r="W3" s="93"/>
      <c r="X3" s="93"/>
      <c r="Y3" s="93"/>
      <c r="Z3" s="93"/>
      <c r="AA3" s="93"/>
      <c r="AB3" s="93"/>
    </row>
    <row r="4" spans="1:28" x14ac:dyDescent="0.35">
      <c r="A4" s="81" t="s">
        <v>0</v>
      </c>
      <c r="B4" s="81" t="s">
        <v>1</v>
      </c>
      <c r="C4" s="81" t="s">
        <v>2</v>
      </c>
      <c r="D4" s="81" t="s">
        <v>220</v>
      </c>
      <c r="E4" s="81" t="s">
        <v>51</v>
      </c>
      <c r="F4" s="81" t="s">
        <v>54</v>
      </c>
      <c r="G4" s="81" t="s">
        <v>56</v>
      </c>
      <c r="H4" s="81" t="s">
        <v>221</v>
      </c>
      <c r="I4" s="81" t="s">
        <v>53</v>
      </c>
      <c r="J4" s="81" t="s">
        <v>23</v>
      </c>
      <c r="K4" s="81" t="s">
        <v>26</v>
      </c>
      <c r="N4" s="82" t="s">
        <v>220</v>
      </c>
      <c r="O4" s="82" t="s">
        <v>51</v>
      </c>
      <c r="P4" s="82" t="s">
        <v>54</v>
      </c>
      <c r="Q4" s="82" t="s">
        <v>56</v>
      </c>
      <c r="R4" s="82" t="s">
        <v>221</v>
      </c>
      <c r="S4" s="82" t="s">
        <v>53</v>
      </c>
      <c r="T4" s="82" t="s">
        <v>23</v>
      </c>
      <c r="U4" s="82" t="s">
        <v>26</v>
      </c>
      <c r="W4" s="93"/>
      <c r="X4" s="93"/>
      <c r="Y4" s="93"/>
      <c r="Z4" s="93"/>
      <c r="AA4" s="93"/>
      <c r="AB4" s="93"/>
    </row>
    <row r="5" spans="1:28" x14ac:dyDescent="0.35">
      <c r="A5" s="84" t="s">
        <v>34</v>
      </c>
      <c r="B5" s="87">
        <v>2020</v>
      </c>
      <c r="C5" s="88" t="s">
        <v>46</v>
      </c>
      <c r="D5" s="84">
        <v>157.4</v>
      </c>
      <c r="E5" s="86">
        <v>161.97499999999999</v>
      </c>
      <c r="F5" s="80">
        <v>144.6</v>
      </c>
      <c r="G5" s="80">
        <v>140.69999999999999</v>
      </c>
      <c r="H5" s="80">
        <v>158.4</v>
      </c>
      <c r="I5" s="80">
        <v>150.19999999999999</v>
      </c>
      <c r="J5" s="89">
        <v>158.30000000000001</v>
      </c>
      <c r="K5" s="89">
        <v>159.4</v>
      </c>
      <c r="N5" s="83">
        <f t="shared" ref="N5:N36" si="0">(D6/D5)-1</f>
        <v>1.2706480304955914E-3</v>
      </c>
      <c r="O5" s="83">
        <f t="shared" ref="O5:O36" si="1">(E6/E5)-1</f>
        <v>-1.934454905592442E-2</v>
      </c>
      <c r="P5" s="83">
        <f t="shared" ref="P5:P36" si="2">(F6/F5)-1</f>
        <v>4.3568464730290524E-2</v>
      </c>
      <c r="Q5" s="83">
        <f t="shared" ref="Q5:Q36" si="3">(G6/G5)-1</f>
        <v>4.8329779673063289E-2</v>
      </c>
      <c r="R5" s="83">
        <f>(H6-H5)-1</f>
        <v>-1.7000000000000171</v>
      </c>
      <c r="S5" s="83">
        <f t="shared" ref="S5:S36" si="4">(I6/I5)-1</f>
        <v>3.1624500665778932E-2</v>
      </c>
      <c r="T5" s="83">
        <f t="shared" ref="T5:T36" si="5">(J6/J5)-1</f>
        <v>2.653190145293749E-2</v>
      </c>
      <c r="U5" s="83">
        <f t="shared" ref="U5:U36" si="6">(K6/K5)-1</f>
        <v>2.5721455457967446E-2</v>
      </c>
      <c r="W5" s="93"/>
      <c r="X5" s="93"/>
      <c r="Y5" s="93"/>
      <c r="Z5" s="93"/>
      <c r="AA5" s="93"/>
      <c r="AB5" s="93"/>
    </row>
    <row r="6" spans="1:28" ht="14.5" hidden="1" customHeight="1" x14ac:dyDescent="0.35">
      <c r="A6" s="84" t="s">
        <v>30</v>
      </c>
      <c r="B6" s="80">
        <v>2021</v>
      </c>
      <c r="C6" s="80" t="s">
        <v>31</v>
      </c>
      <c r="D6" s="84">
        <v>157.6</v>
      </c>
      <c r="E6" s="84">
        <v>158.84166666666664</v>
      </c>
      <c r="F6" s="84">
        <v>150.9</v>
      </c>
      <c r="G6" s="84">
        <v>147.5</v>
      </c>
      <c r="H6" s="84">
        <v>157.69999999999999</v>
      </c>
      <c r="I6" s="84">
        <v>154.94999999999999</v>
      </c>
      <c r="J6" s="84">
        <v>162.5</v>
      </c>
      <c r="K6" s="84">
        <v>163.5</v>
      </c>
      <c r="N6" s="83">
        <f t="shared" si="0"/>
        <v>1.2690355329949554E-3</v>
      </c>
      <c r="O6" s="83">
        <f t="shared" si="1"/>
        <v>1.4427364776244955E-2</v>
      </c>
      <c r="P6" s="83">
        <f t="shared" si="2"/>
        <v>-5.3015241882041098E-2</v>
      </c>
      <c r="Q6" s="83">
        <f t="shared" si="3"/>
        <v>-7.1864406779660994E-2</v>
      </c>
      <c r="R6" s="83">
        <f t="shared" ref="R6:R37" si="7">(H7/H6)-1</f>
        <v>0</v>
      </c>
      <c r="S6" s="83">
        <f t="shared" si="4"/>
        <v>-6.4859632139399714E-2</v>
      </c>
      <c r="T6" s="83">
        <f t="shared" si="5"/>
        <v>-5.1692307692307704E-2</v>
      </c>
      <c r="U6" s="83">
        <f t="shared" si="6"/>
        <v>-4.5259938837920566E-2</v>
      </c>
      <c r="W6" s="136"/>
      <c r="X6" s="136"/>
      <c r="Y6" s="136"/>
      <c r="Z6" s="136"/>
      <c r="AA6" s="136"/>
      <c r="AB6" s="136"/>
    </row>
    <row r="7" spans="1:28" ht="14.5" hidden="1" customHeight="1" x14ac:dyDescent="0.35">
      <c r="A7" s="84" t="s">
        <v>33</v>
      </c>
      <c r="B7" s="88">
        <v>2021</v>
      </c>
      <c r="C7" s="88" t="s">
        <v>31</v>
      </c>
      <c r="D7" s="84">
        <v>157.80000000000001</v>
      </c>
      <c r="E7" s="84">
        <v>161.13333333333335</v>
      </c>
      <c r="F7" s="84">
        <v>142.9</v>
      </c>
      <c r="G7" s="84">
        <v>136.9</v>
      </c>
      <c r="H7" s="84">
        <v>157.69999999999999</v>
      </c>
      <c r="I7" s="84">
        <v>144.9</v>
      </c>
      <c r="J7" s="84">
        <v>154.1</v>
      </c>
      <c r="K7" s="84">
        <v>156.1</v>
      </c>
      <c r="N7" s="83">
        <f t="shared" si="0"/>
        <v>1.2674271229402567E-3</v>
      </c>
      <c r="O7" s="83">
        <f t="shared" si="1"/>
        <v>-9.3607778237487782E-3</v>
      </c>
      <c r="P7" s="83">
        <f t="shared" si="2"/>
        <v>3.4989503149055246E-2</v>
      </c>
      <c r="Q7" s="83">
        <f t="shared" si="3"/>
        <v>3.6523009495982528E-2</v>
      </c>
      <c r="R7" s="83">
        <f t="shared" si="7"/>
        <v>0</v>
      </c>
      <c r="S7" s="83">
        <f t="shared" si="4"/>
        <v>4.0717736369910273E-2</v>
      </c>
      <c r="T7" s="83">
        <f t="shared" si="5"/>
        <v>3.3744321868916405E-2</v>
      </c>
      <c r="U7" s="83">
        <f t="shared" si="6"/>
        <v>1.985906470211396E-2</v>
      </c>
      <c r="W7" s="136"/>
      <c r="X7" s="136"/>
      <c r="Y7" s="136"/>
      <c r="Z7" s="136"/>
      <c r="AA7" s="136"/>
      <c r="AB7" s="136"/>
    </row>
    <row r="8" spans="1:28" x14ac:dyDescent="0.35">
      <c r="A8" s="84" t="s">
        <v>34</v>
      </c>
      <c r="B8" s="80">
        <v>2021</v>
      </c>
      <c r="C8" s="80" t="s">
        <v>31</v>
      </c>
      <c r="D8" s="84">
        <v>158</v>
      </c>
      <c r="E8" s="84">
        <v>159.62499999999997</v>
      </c>
      <c r="F8" s="84">
        <v>147.9</v>
      </c>
      <c r="G8" s="84">
        <v>141.9</v>
      </c>
      <c r="H8" s="84">
        <v>157.69999999999999</v>
      </c>
      <c r="I8" s="84">
        <v>150.80000000000001</v>
      </c>
      <c r="J8" s="84">
        <v>159.30000000000001</v>
      </c>
      <c r="K8" s="84">
        <v>159.19999999999999</v>
      </c>
      <c r="N8" s="83">
        <f t="shared" si="0"/>
        <v>3.5443037974683511E-2</v>
      </c>
      <c r="O8" s="83">
        <f t="shared" si="1"/>
        <v>-2.3440354998694679E-2</v>
      </c>
      <c r="P8" s="83">
        <f t="shared" si="2"/>
        <v>4.3948613928330049E-2</v>
      </c>
      <c r="Q8" s="83">
        <f t="shared" si="3"/>
        <v>5.8491895701197949E-2</v>
      </c>
      <c r="R8" s="83">
        <f t="shared" si="7"/>
        <v>1.3316423589093462E-2</v>
      </c>
      <c r="S8" s="83">
        <f t="shared" si="4"/>
        <v>3.7798408488063595E-2</v>
      </c>
      <c r="T8" s="83">
        <f t="shared" si="5"/>
        <v>3.1387319522912849E-2</v>
      </c>
      <c r="U8" s="83">
        <f t="shared" si="6"/>
        <v>2.7638190954773822E-2</v>
      </c>
      <c r="W8" s="93"/>
      <c r="X8" s="93"/>
      <c r="Y8" s="93"/>
      <c r="Z8" s="93"/>
      <c r="AA8" s="93"/>
      <c r="AB8" s="93"/>
    </row>
    <row r="9" spans="1:28" ht="14.5" hidden="1" customHeight="1" x14ac:dyDescent="0.35">
      <c r="A9" s="84" t="s">
        <v>30</v>
      </c>
      <c r="B9" s="88">
        <v>2021</v>
      </c>
      <c r="C9" s="88" t="s">
        <v>35</v>
      </c>
      <c r="D9" s="84">
        <v>163.6</v>
      </c>
      <c r="E9" s="84">
        <v>155.88333333333333</v>
      </c>
      <c r="F9" s="84">
        <v>154.4</v>
      </c>
      <c r="G9" s="84">
        <v>150.19999999999999</v>
      </c>
      <c r="H9" s="84">
        <v>159.80000000000001</v>
      </c>
      <c r="I9" s="84">
        <v>156.5</v>
      </c>
      <c r="J9" s="84">
        <v>164.3</v>
      </c>
      <c r="K9" s="84">
        <v>163.6</v>
      </c>
      <c r="N9" s="83">
        <f t="shared" si="0"/>
        <v>-2.4449877750611915E-3</v>
      </c>
      <c r="O9" s="83">
        <f t="shared" si="1"/>
        <v>1.8496739014220109E-2</v>
      </c>
      <c r="P9" s="83">
        <f t="shared" si="2"/>
        <v>-3.4326424870466443E-2</v>
      </c>
      <c r="Q9" s="83">
        <f t="shared" si="3"/>
        <v>-6.4580559254327485E-2</v>
      </c>
      <c r="R9" s="83">
        <f t="shared" si="7"/>
        <v>0</v>
      </c>
      <c r="S9" s="83">
        <f t="shared" si="4"/>
        <v>-6.5814696485623103E-2</v>
      </c>
      <c r="T9" s="83">
        <f t="shared" si="5"/>
        <v>-4.8691418137553288E-2</v>
      </c>
      <c r="U9" s="83">
        <f t="shared" si="6"/>
        <v>-4.2787286063569629E-2</v>
      </c>
      <c r="W9" s="136"/>
      <c r="X9" s="136"/>
      <c r="Y9" s="136"/>
      <c r="Z9" s="136"/>
      <c r="AA9" s="136"/>
      <c r="AB9" s="136"/>
    </row>
    <row r="10" spans="1:28" ht="14.5" hidden="1" customHeight="1" x14ac:dyDescent="0.35">
      <c r="A10" s="84" t="s">
        <v>33</v>
      </c>
      <c r="B10" s="80">
        <v>2021</v>
      </c>
      <c r="C10" s="80" t="s">
        <v>35</v>
      </c>
      <c r="D10" s="84">
        <v>163.19999999999999</v>
      </c>
      <c r="E10" s="84">
        <v>158.76666666666668</v>
      </c>
      <c r="F10" s="84">
        <v>149.1</v>
      </c>
      <c r="G10" s="84">
        <v>140.5</v>
      </c>
      <c r="H10" s="84">
        <v>159.80000000000001</v>
      </c>
      <c r="I10" s="84">
        <v>146.19999999999999</v>
      </c>
      <c r="J10" s="84">
        <v>156.30000000000001</v>
      </c>
      <c r="K10" s="84">
        <v>156.6</v>
      </c>
      <c r="N10" s="83">
        <f t="shared" si="0"/>
        <v>-5.5147058823528106E-3</v>
      </c>
      <c r="O10" s="83">
        <f t="shared" si="1"/>
        <v>-1.1967247533067438E-2</v>
      </c>
      <c r="P10" s="83">
        <f t="shared" si="2"/>
        <v>2.2132796780684139E-2</v>
      </c>
      <c r="Q10" s="83">
        <f t="shared" si="3"/>
        <v>3.2740213523131612E-2</v>
      </c>
      <c r="R10" s="83">
        <f t="shared" si="7"/>
        <v>0</v>
      </c>
      <c r="S10" s="83">
        <f t="shared" si="4"/>
        <v>4.1723666210670363E-2</v>
      </c>
      <c r="T10" s="83">
        <f t="shared" si="5"/>
        <v>3.1989763275751759E-2</v>
      </c>
      <c r="U10" s="83">
        <f t="shared" si="6"/>
        <v>1.8518518518518601E-2</v>
      </c>
      <c r="W10" s="136"/>
      <c r="X10" s="136"/>
      <c r="Y10" s="136"/>
      <c r="Z10" s="136"/>
      <c r="AA10" s="136"/>
      <c r="AB10" s="136"/>
    </row>
    <row r="11" spans="1:28" x14ac:dyDescent="0.35">
      <c r="A11" s="84" t="s">
        <v>34</v>
      </c>
      <c r="B11" s="88">
        <v>2021</v>
      </c>
      <c r="C11" s="88" t="s">
        <v>35</v>
      </c>
      <c r="D11" s="84">
        <v>162.30000000000001</v>
      </c>
      <c r="E11" s="84">
        <v>156.86666666666667</v>
      </c>
      <c r="F11" s="84">
        <v>152.4</v>
      </c>
      <c r="G11" s="84">
        <v>145.1</v>
      </c>
      <c r="H11" s="84">
        <v>159.80000000000001</v>
      </c>
      <c r="I11" s="84">
        <v>152.30000000000001</v>
      </c>
      <c r="J11" s="84">
        <v>161.30000000000001</v>
      </c>
      <c r="K11" s="84">
        <v>159.5</v>
      </c>
      <c r="N11" s="83">
        <f t="shared" si="0"/>
        <v>2.8958718422674057E-2</v>
      </c>
      <c r="O11" s="83">
        <f t="shared" si="1"/>
        <v>-5.9498512537187187E-3</v>
      </c>
      <c r="P11" s="83">
        <f t="shared" si="2"/>
        <v>2.3622047244094446E-2</v>
      </c>
      <c r="Q11" s="83">
        <f t="shared" si="3"/>
        <v>4.2729152308752738E-2</v>
      </c>
      <c r="R11" s="83">
        <f t="shared" si="7"/>
        <v>6.2578222778464365E-4</v>
      </c>
      <c r="S11" s="83">
        <f t="shared" si="4"/>
        <v>3.0860144451740013E-2</v>
      </c>
      <c r="T11" s="83">
        <f t="shared" si="5"/>
        <v>2.0458772473651576E-2</v>
      </c>
      <c r="U11" s="83">
        <f t="shared" si="6"/>
        <v>2.6959247648902895E-2</v>
      </c>
      <c r="W11" s="93"/>
      <c r="X11" s="93"/>
      <c r="Y11" s="93"/>
      <c r="Z11" s="93"/>
      <c r="AA11" s="93"/>
      <c r="AB11" s="93"/>
    </row>
    <row r="12" spans="1:28" ht="14.5" hidden="1" customHeight="1" x14ac:dyDescent="0.35">
      <c r="A12" s="84" t="s">
        <v>30</v>
      </c>
      <c r="B12" s="80">
        <v>2021</v>
      </c>
      <c r="C12" s="80" t="s">
        <v>36</v>
      </c>
      <c r="D12" s="84">
        <v>167</v>
      </c>
      <c r="E12" s="84">
        <v>155.93333333333334</v>
      </c>
      <c r="F12" s="84">
        <v>156</v>
      </c>
      <c r="G12" s="84">
        <v>151.30000000000001</v>
      </c>
      <c r="H12" s="84">
        <v>159.9</v>
      </c>
      <c r="I12" s="84">
        <v>157</v>
      </c>
      <c r="J12" s="84">
        <v>164.6</v>
      </c>
      <c r="K12" s="84">
        <v>163.80000000000001</v>
      </c>
      <c r="N12" s="83">
        <f t="shared" si="0"/>
        <v>-4.7904191616766623E-3</v>
      </c>
      <c r="O12" s="83">
        <f t="shared" si="1"/>
        <v>1.7582300128259787E-2</v>
      </c>
      <c r="P12" s="83">
        <f t="shared" si="2"/>
        <v>-7.692307692307665E-3</v>
      </c>
      <c r="Q12" s="83">
        <f t="shared" si="3"/>
        <v>-6.3450099140780036E-2</v>
      </c>
      <c r="R12" s="83">
        <f t="shared" si="7"/>
        <v>0</v>
      </c>
      <c r="S12" s="83">
        <f t="shared" si="4"/>
        <v>-6.4331210191082899E-2</v>
      </c>
      <c r="T12" s="83">
        <f t="shared" si="5"/>
        <v>-4.6780072904009651E-2</v>
      </c>
      <c r="U12" s="83">
        <f t="shared" si="6"/>
        <v>-3.7851037851037939E-2</v>
      </c>
      <c r="W12" s="136"/>
      <c r="X12" s="136"/>
      <c r="Y12" s="136"/>
      <c r="Z12" s="136"/>
      <c r="AA12" s="136"/>
      <c r="AB12" s="136"/>
    </row>
    <row r="13" spans="1:28" ht="14.5" hidden="1" customHeight="1" x14ac:dyDescent="0.35">
      <c r="A13" s="84" t="s">
        <v>33</v>
      </c>
      <c r="B13" s="88">
        <v>2021</v>
      </c>
      <c r="C13" s="88" t="s">
        <v>36</v>
      </c>
      <c r="D13" s="84">
        <v>166.2</v>
      </c>
      <c r="E13" s="84">
        <v>158.67499999999998</v>
      </c>
      <c r="F13" s="84">
        <v>154.80000000000001</v>
      </c>
      <c r="G13" s="84">
        <v>141.69999999999999</v>
      </c>
      <c r="H13" s="84">
        <v>159.9</v>
      </c>
      <c r="I13" s="84">
        <v>146.89999999999998</v>
      </c>
      <c r="J13" s="84">
        <v>156.9</v>
      </c>
      <c r="K13" s="84">
        <v>157.6</v>
      </c>
      <c r="N13" s="83">
        <f t="shared" si="0"/>
        <v>-6.0168471720818406E-3</v>
      </c>
      <c r="O13" s="83">
        <f t="shared" si="1"/>
        <v>-1.1238905519668108E-2</v>
      </c>
      <c r="P13" s="83">
        <f t="shared" si="2"/>
        <v>4.5219638242892657E-3</v>
      </c>
      <c r="Q13" s="83">
        <f t="shared" si="3"/>
        <v>3.1757233592095924E-2</v>
      </c>
      <c r="R13" s="83">
        <f t="shared" si="7"/>
        <v>0</v>
      </c>
      <c r="S13" s="83">
        <f t="shared" si="4"/>
        <v>4.050374404356738E-2</v>
      </c>
      <c r="T13" s="83">
        <f t="shared" si="5"/>
        <v>3.0592734225621365E-2</v>
      </c>
      <c r="U13" s="83">
        <f t="shared" si="6"/>
        <v>1.6497461928933976E-2</v>
      </c>
      <c r="W13" s="136"/>
      <c r="X13" s="136"/>
      <c r="Y13" s="136"/>
      <c r="Z13" s="136"/>
      <c r="AA13" s="136"/>
      <c r="AB13" s="136"/>
    </row>
    <row r="14" spans="1:28" x14ac:dyDescent="0.35">
      <c r="A14" s="84" t="s">
        <v>34</v>
      </c>
      <c r="B14" s="80">
        <v>2021</v>
      </c>
      <c r="C14" s="80" t="s">
        <v>36</v>
      </c>
      <c r="D14" s="84">
        <v>165.2</v>
      </c>
      <c r="E14" s="84">
        <v>156.89166666666665</v>
      </c>
      <c r="F14" s="84">
        <v>155.5</v>
      </c>
      <c r="G14" s="84">
        <v>146.19999999999999</v>
      </c>
      <c r="H14" s="84">
        <v>159.9</v>
      </c>
      <c r="I14" s="84">
        <v>152.85000000000002</v>
      </c>
      <c r="J14" s="84">
        <v>161.69999999999999</v>
      </c>
      <c r="K14" s="84">
        <v>160.19999999999999</v>
      </c>
      <c r="N14" s="83">
        <f t="shared" si="0"/>
        <v>-5.1452784503631999E-2</v>
      </c>
      <c r="O14" s="83">
        <f t="shared" si="1"/>
        <v>5.9489031709780704E-3</v>
      </c>
      <c r="P14" s="83">
        <f t="shared" si="2"/>
        <v>3.215434083601254E-3</v>
      </c>
      <c r="Q14" s="83">
        <f t="shared" si="3"/>
        <v>3.7619699042407584E-2</v>
      </c>
      <c r="R14" s="83">
        <f t="shared" si="7"/>
        <v>9.3808630393996673E-3</v>
      </c>
      <c r="S14" s="83">
        <f t="shared" si="4"/>
        <v>3.3038927052665645E-2</v>
      </c>
      <c r="T14" s="83">
        <f t="shared" si="5"/>
        <v>2.2263450834879572E-2</v>
      </c>
      <c r="U14" s="83">
        <f t="shared" si="6"/>
        <v>2.4344569288389462E-2</v>
      </c>
      <c r="W14" s="93"/>
      <c r="X14" s="93"/>
      <c r="Y14" s="93"/>
      <c r="Z14" s="93"/>
      <c r="AA14" s="93"/>
      <c r="AB14" s="93"/>
    </row>
    <row r="15" spans="1:28" ht="14.5" hidden="1" customHeight="1" x14ac:dyDescent="0.35">
      <c r="A15" s="84" t="s">
        <v>30</v>
      </c>
      <c r="B15" s="88">
        <v>2021</v>
      </c>
      <c r="C15" s="88" t="s">
        <v>37</v>
      </c>
      <c r="D15" s="84">
        <v>156.69999999999999</v>
      </c>
      <c r="E15" s="84">
        <v>157.82500000000002</v>
      </c>
      <c r="F15" s="84">
        <v>156</v>
      </c>
      <c r="G15" s="84">
        <v>151.69999999999999</v>
      </c>
      <c r="H15" s="84">
        <v>161.4</v>
      </c>
      <c r="I15" s="84">
        <v>157.89999999999998</v>
      </c>
      <c r="J15" s="84">
        <v>165.3</v>
      </c>
      <c r="K15" s="84">
        <v>164.1</v>
      </c>
      <c r="N15" s="83">
        <f t="shared" si="0"/>
        <v>-6.3816209317157924E-4</v>
      </c>
      <c r="O15" s="83">
        <f t="shared" si="1"/>
        <v>1.7793970114578173E-2</v>
      </c>
      <c r="P15" s="83">
        <f t="shared" si="2"/>
        <v>-7.0512820512820262E-3</v>
      </c>
      <c r="Q15" s="83">
        <f t="shared" si="3"/>
        <v>-6.3282794990112023E-2</v>
      </c>
      <c r="R15" s="83">
        <f t="shared" si="7"/>
        <v>0</v>
      </c>
      <c r="S15" s="83">
        <f t="shared" si="4"/>
        <v>-6.5231158961367663E-2</v>
      </c>
      <c r="T15" s="83">
        <f t="shared" si="5"/>
        <v>-4.7186932849364815E-2</v>
      </c>
      <c r="U15" s="83">
        <f t="shared" si="6"/>
        <v>-3.9609993906154828E-2</v>
      </c>
      <c r="W15" s="136"/>
      <c r="X15" s="136"/>
      <c r="Y15" s="136"/>
      <c r="Z15" s="136"/>
      <c r="AA15" s="136"/>
      <c r="AB15" s="136"/>
    </row>
    <row r="16" spans="1:28" ht="14.5" hidden="1" customHeight="1" x14ac:dyDescent="0.35">
      <c r="A16" s="84" t="s">
        <v>33</v>
      </c>
      <c r="B16" s="80">
        <v>2021</v>
      </c>
      <c r="C16" s="80" t="s">
        <v>37</v>
      </c>
      <c r="D16" s="84">
        <v>156.6</v>
      </c>
      <c r="E16" s="84">
        <v>160.63333333333333</v>
      </c>
      <c r="F16" s="84">
        <v>154.9</v>
      </c>
      <c r="G16" s="84">
        <v>142.1</v>
      </c>
      <c r="H16" s="84">
        <v>161.4</v>
      </c>
      <c r="I16" s="84">
        <v>147.60000000000002</v>
      </c>
      <c r="J16" s="84">
        <v>157.5</v>
      </c>
      <c r="K16" s="84">
        <v>157.6</v>
      </c>
      <c r="N16" s="83">
        <f t="shared" si="0"/>
        <v>-6.3856960408681385E-4</v>
      </c>
      <c r="O16" s="83">
        <f t="shared" si="1"/>
        <v>-1.1153766341564619E-2</v>
      </c>
      <c r="P16" s="83">
        <f t="shared" si="2"/>
        <v>4.5190445448675121E-3</v>
      </c>
      <c r="Q16" s="83">
        <f t="shared" si="3"/>
        <v>3.1667839549613053E-2</v>
      </c>
      <c r="R16" s="83">
        <f t="shared" si="7"/>
        <v>0</v>
      </c>
      <c r="S16" s="83">
        <f t="shared" si="4"/>
        <v>4.0989159891598792E-2</v>
      </c>
      <c r="T16" s="83">
        <f t="shared" si="5"/>
        <v>3.0476190476190546E-2</v>
      </c>
      <c r="U16" s="83">
        <f t="shared" si="6"/>
        <v>1.7131979695431676E-2</v>
      </c>
      <c r="W16" s="136"/>
      <c r="X16" s="136"/>
      <c r="Y16" s="136"/>
      <c r="Z16" s="136"/>
      <c r="AA16" s="136"/>
      <c r="AB16" s="136"/>
    </row>
    <row r="17" spans="1:28" x14ac:dyDescent="0.35">
      <c r="A17" s="84" t="s">
        <v>34</v>
      </c>
      <c r="B17" s="88">
        <v>2021</v>
      </c>
      <c r="C17" s="88" t="s">
        <v>37</v>
      </c>
      <c r="D17" s="84">
        <v>156.5</v>
      </c>
      <c r="E17" s="84">
        <v>158.84166666666667</v>
      </c>
      <c r="F17" s="84">
        <v>155.6</v>
      </c>
      <c r="G17" s="84">
        <v>146.6</v>
      </c>
      <c r="H17" s="84">
        <v>161.4</v>
      </c>
      <c r="I17" s="84">
        <v>153.65</v>
      </c>
      <c r="J17" s="84">
        <v>162.30000000000001</v>
      </c>
      <c r="K17" s="84">
        <v>160.30000000000001</v>
      </c>
      <c r="N17" s="83">
        <f t="shared" si="0"/>
        <v>1.2779552715654896E-2</v>
      </c>
      <c r="O17" s="83">
        <f t="shared" si="1"/>
        <v>1.6001259115471234E-2</v>
      </c>
      <c r="P17" s="83">
        <f t="shared" si="2"/>
        <v>3.92030848329048E-2</v>
      </c>
      <c r="Q17" s="83">
        <f t="shared" si="3"/>
        <v>4.5020463847203152E-2</v>
      </c>
      <c r="R17" s="83">
        <f t="shared" si="7"/>
        <v>1.2391573729861882E-3</v>
      </c>
      <c r="S17" s="83">
        <f t="shared" si="4"/>
        <v>6.0527172144483998E-2</v>
      </c>
      <c r="T17" s="83">
        <f t="shared" si="5"/>
        <v>4.1897720271102834E-2</v>
      </c>
      <c r="U17" s="83">
        <f t="shared" si="6"/>
        <v>4.5539613225202613E-2</v>
      </c>
      <c r="W17" s="93"/>
      <c r="X17" s="93"/>
      <c r="Y17" s="93"/>
      <c r="Z17" s="93"/>
      <c r="AA17" s="93"/>
      <c r="AB17" s="93"/>
    </row>
    <row r="18" spans="1:28" ht="14.5" hidden="1" customHeight="1" x14ac:dyDescent="0.35">
      <c r="A18" s="84" t="s">
        <v>30</v>
      </c>
      <c r="B18" s="80">
        <v>2021</v>
      </c>
      <c r="C18" s="80" t="s">
        <v>38</v>
      </c>
      <c r="D18" s="84">
        <v>158.5</v>
      </c>
      <c r="E18" s="84">
        <v>161.38333333333333</v>
      </c>
      <c r="F18" s="84">
        <v>161.69999999999999</v>
      </c>
      <c r="G18" s="84">
        <v>153.19999999999999</v>
      </c>
      <c r="H18" s="84">
        <v>161.6</v>
      </c>
      <c r="I18" s="84">
        <v>162.94999999999999</v>
      </c>
      <c r="J18" s="84">
        <v>169.1</v>
      </c>
      <c r="K18" s="84">
        <v>167.6</v>
      </c>
      <c r="N18" s="83">
        <f t="shared" si="0"/>
        <v>-7.5709779179810033E-3</v>
      </c>
      <c r="O18" s="83">
        <f t="shared" si="1"/>
        <v>1.2341216565114443E-2</v>
      </c>
      <c r="P18" s="83">
        <f t="shared" si="2"/>
        <v>-3.8342609771181091E-2</v>
      </c>
      <c r="Q18" s="83">
        <f t="shared" si="3"/>
        <v>-5.3524804177545571E-2</v>
      </c>
      <c r="R18" s="83">
        <f t="shared" si="7"/>
        <v>0</v>
      </c>
      <c r="S18" s="83">
        <f t="shared" si="4"/>
        <v>-8.9598036207425569E-2</v>
      </c>
      <c r="T18" s="83">
        <f t="shared" si="5"/>
        <v>-5.1448846836191553E-2</v>
      </c>
      <c r="U18" s="83">
        <f t="shared" si="6"/>
        <v>-6.563245823389019E-2</v>
      </c>
      <c r="W18" s="136"/>
      <c r="X18" s="136"/>
      <c r="Y18" s="136"/>
      <c r="Z18" s="136"/>
      <c r="AA18" s="136"/>
      <c r="AB18" s="136"/>
    </row>
    <row r="19" spans="1:28" ht="14.5" hidden="1" customHeight="1" x14ac:dyDescent="0.35">
      <c r="A19" s="84" t="s">
        <v>33</v>
      </c>
      <c r="B19" s="88">
        <v>2021</v>
      </c>
      <c r="C19" s="88" t="s">
        <v>38</v>
      </c>
      <c r="D19" s="84">
        <v>157.30000000000001</v>
      </c>
      <c r="E19" s="84">
        <v>163.37500000000003</v>
      </c>
      <c r="F19" s="84">
        <v>155.5</v>
      </c>
      <c r="G19" s="84">
        <v>145</v>
      </c>
      <c r="H19" s="84">
        <v>161.6</v>
      </c>
      <c r="I19" s="84">
        <v>148.35</v>
      </c>
      <c r="J19" s="84">
        <v>160.4</v>
      </c>
      <c r="K19" s="84">
        <v>156.6</v>
      </c>
      <c r="N19" s="83">
        <f t="shared" si="0"/>
        <v>-8.2644628099174389E-3</v>
      </c>
      <c r="O19" s="83">
        <f t="shared" si="1"/>
        <v>-7.906146391226887E-3</v>
      </c>
      <c r="P19" s="83">
        <f t="shared" si="2"/>
        <v>2.5080385852090048E-2</v>
      </c>
      <c r="Q19" s="83">
        <f t="shared" si="3"/>
        <v>2.6896551724137963E-2</v>
      </c>
      <c r="R19" s="83">
        <f t="shared" si="7"/>
        <v>0</v>
      </c>
      <c r="S19" s="83">
        <f t="shared" si="4"/>
        <v>5.7971014492753659E-2</v>
      </c>
      <c r="T19" s="83">
        <f t="shared" si="5"/>
        <v>3.366583541147139E-2</v>
      </c>
      <c r="U19" s="83">
        <f t="shared" si="6"/>
        <v>2.9374201787994769E-2</v>
      </c>
      <c r="W19" s="136"/>
      <c r="X19" s="136"/>
      <c r="Y19" s="136"/>
      <c r="Z19" s="136"/>
      <c r="AA19" s="136"/>
      <c r="AB19" s="136"/>
    </row>
    <row r="20" spans="1:28" x14ac:dyDescent="0.35">
      <c r="A20" s="84" t="s">
        <v>34</v>
      </c>
      <c r="B20" s="80">
        <v>2021</v>
      </c>
      <c r="C20" s="80" t="s">
        <v>38</v>
      </c>
      <c r="D20" s="84">
        <v>156</v>
      </c>
      <c r="E20" s="84">
        <v>162.08333333333334</v>
      </c>
      <c r="F20" s="84">
        <v>159.4</v>
      </c>
      <c r="G20" s="84">
        <v>148.9</v>
      </c>
      <c r="H20" s="84">
        <v>161.6</v>
      </c>
      <c r="I20" s="84">
        <v>156.94999999999999</v>
      </c>
      <c r="J20" s="84">
        <v>165.8</v>
      </c>
      <c r="K20" s="84">
        <v>161.19999999999999</v>
      </c>
      <c r="N20" s="83">
        <f t="shared" si="0"/>
        <v>4.615384615384599E-2</v>
      </c>
      <c r="O20" s="83">
        <f t="shared" si="1"/>
        <v>8.7917737789202643E-3</v>
      </c>
      <c r="P20" s="83">
        <f t="shared" si="2"/>
        <v>1.6938519447929679E-2</v>
      </c>
      <c r="Q20" s="83">
        <f t="shared" si="3"/>
        <v>3.5594358629952971E-2</v>
      </c>
      <c r="R20" s="83">
        <f t="shared" si="7"/>
        <v>-6.8069306930692575E-3</v>
      </c>
      <c r="S20" s="83">
        <f t="shared" si="4"/>
        <v>3.5998725708824786E-2</v>
      </c>
      <c r="T20" s="83">
        <f t="shared" si="5"/>
        <v>2.3522316043425695E-2</v>
      </c>
      <c r="U20" s="83">
        <f t="shared" si="6"/>
        <v>3.473945409429291E-2</v>
      </c>
      <c r="W20" s="93"/>
      <c r="X20" s="93"/>
      <c r="Y20" s="93"/>
      <c r="Z20" s="93"/>
      <c r="AA20" s="93"/>
      <c r="AB20" s="93"/>
    </row>
    <row r="21" spans="1:28" ht="14.5" hidden="1" customHeight="1" x14ac:dyDescent="0.35">
      <c r="A21" s="84" t="s">
        <v>30</v>
      </c>
      <c r="B21" s="88">
        <v>2021</v>
      </c>
      <c r="C21" s="88" t="s">
        <v>39</v>
      </c>
      <c r="D21" s="84">
        <v>163.19999999999999</v>
      </c>
      <c r="E21" s="84">
        <v>163.50833333333333</v>
      </c>
      <c r="F21" s="84">
        <v>162.1</v>
      </c>
      <c r="G21" s="84">
        <v>154.19999999999999</v>
      </c>
      <c r="H21" s="84">
        <v>160.5</v>
      </c>
      <c r="I21" s="84">
        <v>162.60000000000002</v>
      </c>
      <c r="J21" s="84">
        <v>169.7</v>
      </c>
      <c r="K21" s="84">
        <v>166.8</v>
      </c>
      <c r="N21" s="83">
        <f t="shared" si="0"/>
        <v>-4.2892156862744946E-3</v>
      </c>
      <c r="O21" s="83">
        <f t="shared" si="1"/>
        <v>1.320014270424541E-2</v>
      </c>
      <c r="P21" s="83">
        <f t="shared" si="2"/>
        <v>-3.7014188772362733E-2</v>
      </c>
      <c r="Q21" s="83">
        <f t="shared" si="3"/>
        <v>-4.3450064850843018E-2</v>
      </c>
      <c r="R21" s="83">
        <f t="shared" si="7"/>
        <v>0</v>
      </c>
      <c r="S21" s="83">
        <f t="shared" si="4"/>
        <v>-8.4255842558425664E-2</v>
      </c>
      <c r="T21" s="83">
        <f t="shared" si="5"/>
        <v>-5.2445492044784769E-2</v>
      </c>
      <c r="U21" s="83">
        <f t="shared" si="6"/>
        <v>-5.2158273381295084E-2</v>
      </c>
      <c r="W21" s="136"/>
      <c r="X21" s="136"/>
      <c r="Y21" s="136"/>
      <c r="Z21" s="136"/>
      <c r="AA21" s="136"/>
      <c r="AB21" s="136"/>
    </row>
    <row r="22" spans="1:28" ht="14.5" hidden="1" customHeight="1" x14ac:dyDescent="0.35">
      <c r="A22" s="84" t="s">
        <v>33</v>
      </c>
      <c r="B22" s="80">
        <v>2021</v>
      </c>
      <c r="C22" s="80" t="s">
        <v>39</v>
      </c>
      <c r="D22" s="84">
        <v>162.5</v>
      </c>
      <c r="E22" s="84">
        <v>165.66666666666666</v>
      </c>
      <c r="F22" s="84">
        <v>156.1</v>
      </c>
      <c r="G22" s="84">
        <v>147.5</v>
      </c>
      <c r="H22" s="84">
        <v>160.5</v>
      </c>
      <c r="I22" s="84">
        <v>148.9</v>
      </c>
      <c r="J22" s="84">
        <v>160.80000000000001</v>
      </c>
      <c r="K22" s="84">
        <v>158.1</v>
      </c>
      <c r="N22" s="83">
        <f t="shared" si="0"/>
        <v>-4.3076923076922347E-3</v>
      </c>
      <c r="O22" s="83">
        <f t="shared" si="1"/>
        <v>-8.4004024144868072E-3</v>
      </c>
      <c r="P22" s="83">
        <f t="shared" si="2"/>
        <v>2.3702754644458812E-2</v>
      </c>
      <c r="Q22" s="83">
        <f t="shared" si="3"/>
        <v>2.1694915254237168E-2</v>
      </c>
      <c r="R22" s="83">
        <f t="shared" si="7"/>
        <v>0</v>
      </c>
      <c r="S22" s="83">
        <f t="shared" si="4"/>
        <v>5.4398925453324365E-2</v>
      </c>
      <c r="T22" s="83">
        <f t="shared" si="5"/>
        <v>3.4203980099502429E-2</v>
      </c>
      <c r="U22" s="83">
        <f t="shared" si="6"/>
        <v>2.2770398481973375E-2</v>
      </c>
      <c r="W22" s="136"/>
      <c r="X22" s="136"/>
      <c r="Y22" s="136"/>
      <c r="Z22" s="136"/>
      <c r="AA22" s="136"/>
      <c r="AB22" s="136"/>
    </row>
    <row r="23" spans="1:28" x14ac:dyDescent="0.35">
      <c r="A23" s="84" t="s">
        <v>34</v>
      </c>
      <c r="B23" s="88">
        <v>2021</v>
      </c>
      <c r="C23" s="88" t="s">
        <v>39</v>
      </c>
      <c r="D23" s="84">
        <v>161.80000000000001</v>
      </c>
      <c r="E23" s="84">
        <v>164.27500000000001</v>
      </c>
      <c r="F23" s="84">
        <v>159.80000000000001</v>
      </c>
      <c r="G23" s="84">
        <v>150.69999999999999</v>
      </c>
      <c r="H23" s="84">
        <v>160.5</v>
      </c>
      <c r="I23" s="84">
        <v>157</v>
      </c>
      <c r="J23" s="84">
        <v>166.3</v>
      </c>
      <c r="K23" s="84">
        <v>161.69999999999999</v>
      </c>
      <c r="N23" s="83">
        <f t="shared" si="0"/>
        <v>1.8541409147094789E-3</v>
      </c>
      <c r="O23" s="83">
        <f t="shared" si="1"/>
        <v>-3.04367676152828E-4</v>
      </c>
      <c r="P23" s="83">
        <f t="shared" si="2"/>
        <v>1.6896120150187599E-2</v>
      </c>
      <c r="Q23" s="83">
        <f t="shared" si="3"/>
        <v>4.2468480424684873E-2</v>
      </c>
      <c r="R23" s="83">
        <f t="shared" si="7"/>
        <v>6.230529595015577E-3</v>
      </c>
      <c r="S23" s="83">
        <f t="shared" si="4"/>
        <v>4.1719745222930094E-2</v>
      </c>
      <c r="T23" s="83">
        <f t="shared" si="5"/>
        <v>2.4654239326518335E-2</v>
      </c>
      <c r="U23" s="83">
        <f t="shared" si="6"/>
        <v>3.4013605442176909E-2</v>
      </c>
      <c r="W23" s="93"/>
      <c r="X23" s="93"/>
      <c r="Y23" s="93"/>
      <c r="Z23" s="93"/>
      <c r="AA23" s="93"/>
      <c r="AB23" s="93"/>
    </row>
    <row r="24" spans="1:28" ht="14.5" hidden="1" customHeight="1" x14ac:dyDescent="0.35">
      <c r="A24" s="84" t="s">
        <v>30</v>
      </c>
      <c r="B24" s="80">
        <v>2021</v>
      </c>
      <c r="C24" s="80" t="s">
        <v>40</v>
      </c>
      <c r="D24" s="84">
        <v>162.1</v>
      </c>
      <c r="E24" s="84">
        <v>164.22499999999999</v>
      </c>
      <c r="F24" s="84">
        <v>162.5</v>
      </c>
      <c r="G24" s="84">
        <v>157.1</v>
      </c>
      <c r="H24" s="84">
        <v>161.5</v>
      </c>
      <c r="I24" s="84">
        <v>163.55000000000001</v>
      </c>
      <c r="J24" s="84">
        <v>170.4</v>
      </c>
      <c r="K24" s="84">
        <v>167.2</v>
      </c>
      <c r="N24" s="83">
        <f t="shared" si="0"/>
        <v>-4.935225169648283E-3</v>
      </c>
      <c r="O24" s="83">
        <f t="shared" si="1"/>
        <v>1.6846805703557344E-2</v>
      </c>
      <c r="P24" s="83">
        <f t="shared" si="2"/>
        <v>-2.9538461538461624E-2</v>
      </c>
      <c r="Q24" s="83">
        <f t="shared" si="3"/>
        <v>-4.8376830044557617E-2</v>
      </c>
      <c r="R24" s="83">
        <f t="shared" si="7"/>
        <v>0</v>
      </c>
      <c r="S24" s="83">
        <f t="shared" si="4"/>
        <v>-8.346071537756039E-2</v>
      </c>
      <c r="T24" s="83">
        <f t="shared" si="5"/>
        <v>-5.2230046948356867E-2</v>
      </c>
      <c r="U24" s="83">
        <f t="shared" si="6"/>
        <v>-4.1267942583731898E-2</v>
      </c>
      <c r="W24" s="136"/>
      <c r="X24" s="136"/>
      <c r="Y24" s="136"/>
      <c r="Z24" s="136"/>
      <c r="AA24" s="136"/>
      <c r="AB24" s="136"/>
    </row>
    <row r="25" spans="1:28" ht="14.5" hidden="1" customHeight="1" x14ac:dyDescent="0.35">
      <c r="A25" s="84" t="s">
        <v>33</v>
      </c>
      <c r="B25" s="88">
        <v>2021</v>
      </c>
      <c r="C25" s="88" t="s">
        <v>40</v>
      </c>
      <c r="D25" s="84">
        <v>161.30000000000001</v>
      </c>
      <c r="E25" s="84">
        <v>166.9916666666667</v>
      </c>
      <c r="F25" s="84">
        <v>157.69999999999999</v>
      </c>
      <c r="G25" s="84">
        <v>149.5</v>
      </c>
      <c r="H25" s="84">
        <v>161.5</v>
      </c>
      <c r="I25" s="84">
        <v>149.9</v>
      </c>
      <c r="J25" s="84">
        <v>161.5</v>
      </c>
      <c r="K25" s="84">
        <v>160.30000000000001</v>
      </c>
      <c r="N25" s="83">
        <f t="shared" si="0"/>
        <v>-5.5796652200867936E-3</v>
      </c>
      <c r="O25" s="83">
        <f t="shared" si="1"/>
        <v>-1.0429662158790376E-2</v>
      </c>
      <c r="P25" s="83">
        <f t="shared" si="2"/>
        <v>1.9023462270133074E-2</v>
      </c>
      <c r="Q25" s="83">
        <f t="shared" si="3"/>
        <v>2.4080267558528323E-2</v>
      </c>
      <c r="R25" s="83">
        <f t="shared" si="7"/>
        <v>0</v>
      </c>
      <c r="S25" s="83">
        <f t="shared" si="4"/>
        <v>5.370246831220804E-2</v>
      </c>
      <c r="T25" s="83">
        <f t="shared" si="5"/>
        <v>3.4055727554179516E-2</v>
      </c>
      <c r="U25" s="83">
        <f t="shared" si="6"/>
        <v>1.8091079226450368E-2</v>
      </c>
      <c r="W25" s="136"/>
      <c r="X25" s="136"/>
      <c r="Y25" s="136"/>
      <c r="Z25" s="136"/>
      <c r="AA25" s="136"/>
      <c r="AB25" s="136"/>
    </row>
    <row r="26" spans="1:28" x14ac:dyDescent="0.35">
      <c r="A26" s="84" t="s">
        <v>34</v>
      </c>
      <c r="B26" s="80">
        <v>2021</v>
      </c>
      <c r="C26" s="80" t="s">
        <v>40</v>
      </c>
      <c r="D26" s="84">
        <v>160.4</v>
      </c>
      <c r="E26" s="84">
        <v>165.25000000000003</v>
      </c>
      <c r="F26" s="84">
        <v>160.69999999999999</v>
      </c>
      <c r="G26" s="84">
        <v>153.1</v>
      </c>
      <c r="H26" s="84">
        <v>161.5</v>
      </c>
      <c r="I26" s="84">
        <v>157.94999999999999</v>
      </c>
      <c r="J26" s="84">
        <v>167</v>
      </c>
      <c r="K26" s="84">
        <v>163.19999999999999</v>
      </c>
      <c r="N26" s="83">
        <f t="shared" si="0"/>
        <v>-2.3067331670823088E-2</v>
      </c>
      <c r="O26" s="83">
        <f t="shared" si="1"/>
        <v>-7.0600100857287629E-3</v>
      </c>
      <c r="P26" s="83">
        <f t="shared" si="2"/>
        <v>1.4934660858743065E-2</v>
      </c>
      <c r="Q26" s="83">
        <f t="shared" si="3"/>
        <v>3.0045721750489918E-2</v>
      </c>
      <c r="R26" s="83">
        <f t="shared" si="7"/>
        <v>3.7151702786377694E-3</v>
      </c>
      <c r="S26" s="83">
        <f t="shared" si="4"/>
        <v>4.3368154479265675E-2</v>
      </c>
      <c r="T26" s="83">
        <f t="shared" si="5"/>
        <v>2.4550898203592686E-2</v>
      </c>
      <c r="U26" s="83">
        <f t="shared" si="6"/>
        <v>2.6348039215686292E-2</v>
      </c>
      <c r="W26" s="93"/>
      <c r="X26" s="93"/>
      <c r="Y26" s="93"/>
      <c r="Z26" s="93"/>
      <c r="AA26" s="93"/>
      <c r="AB26" s="93"/>
    </row>
    <row r="27" spans="1:28" ht="14.5" hidden="1" customHeight="1" x14ac:dyDescent="0.35">
      <c r="A27" s="84" t="s">
        <v>30</v>
      </c>
      <c r="B27" s="88">
        <v>2021</v>
      </c>
      <c r="C27" s="88" t="s">
        <v>41</v>
      </c>
      <c r="D27" s="84">
        <v>156.69999999999999</v>
      </c>
      <c r="E27" s="84">
        <v>164.08333333333334</v>
      </c>
      <c r="F27" s="84">
        <v>163.1</v>
      </c>
      <c r="G27" s="84">
        <v>157.69999999999999</v>
      </c>
      <c r="H27" s="84">
        <v>162.1</v>
      </c>
      <c r="I27" s="84">
        <v>164.8</v>
      </c>
      <c r="J27" s="84">
        <v>171.1</v>
      </c>
      <c r="K27" s="84">
        <v>167.5</v>
      </c>
      <c r="N27" s="83">
        <f t="shared" si="0"/>
        <v>6.381620931719123E-4</v>
      </c>
      <c r="O27" s="83">
        <f t="shared" si="1"/>
        <v>1.0970035551040924E-2</v>
      </c>
      <c r="P27" s="83">
        <f t="shared" si="2"/>
        <v>-1.4714898835070489E-2</v>
      </c>
      <c r="Q27" s="83">
        <f t="shared" si="3"/>
        <v>-4.6290424857323931E-2</v>
      </c>
      <c r="R27" s="83">
        <f t="shared" si="7"/>
        <v>0</v>
      </c>
      <c r="S27" s="83">
        <f t="shared" si="4"/>
        <v>-7.9490291262136026E-2</v>
      </c>
      <c r="T27" s="83">
        <f t="shared" si="5"/>
        <v>-4.8509643483342968E-2</v>
      </c>
      <c r="U27" s="83">
        <f t="shared" si="6"/>
        <v>-4.2388059701492509E-2</v>
      </c>
      <c r="W27" s="136"/>
      <c r="X27" s="136"/>
      <c r="Y27" s="136"/>
      <c r="Z27" s="136"/>
      <c r="AA27" s="136"/>
      <c r="AB27" s="136"/>
    </row>
    <row r="28" spans="1:28" ht="14.5" hidden="1" customHeight="1" x14ac:dyDescent="0.35">
      <c r="A28" s="84" t="s">
        <v>33</v>
      </c>
      <c r="B28" s="80">
        <v>2021</v>
      </c>
      <c r="C28" s="80" t="s">
        <v>41</v>
      </c>
      <c r="D28" s="84">
        <v>156.80000000000001</v>
      </c>
      <c r="E28" s="84">
        <v>165.88333333333333</v>
      </c>
      <c r="F28" s="84">
        <v>160.69999999999999</v>
      </c>
      <c r="G28" s="84">
        <v>150.4</v>
      </c>
      <c r="H28" s="84">
        <v>162.1</v>
      </c>
      <c r="I28" s="84">
        <v>151.69999999999999</v>
      </c>
      <c r="J28" s="84">
        <v>162.80000000000001</v>
      </c>
      <c r="K28" s="84">
        <v>160.4</v>
      </c>
      <c r="N28" s="83">
        <f t="shared" si="0"/>
        <v>6.3775510204067132E-4</v>
      </c>
      <c r="O28" s="83">
        <f t="shared" si="1"/>
        <v>-6.3297498241735584E-3</v>
      </c>
      <c r="P28" s="83">
        <f t="shared" si="2"/>
        <v>1.1823273179838223E-2</v>
      </c>
      <c r="Q28" s="83">
        <f t="shared" si="3"/>
        <v>2.3936170212765839E-2</v>
      </c>
      <c r="R28" s="83">
        <f t="shared" si="7"/>
        <v>0</v>
      </c>
      <c r="S28" s="83">
        <f t="shared" si="4"/>
        <v>5.4054054054054168E-2</v>
      </c>
      <c r="T28" s="83">
        <f t="shared" si="5"/>
        <v>3.4398034398034349E-2</v>
      </c>
      <c r="U28" s="83">
        <f t="shared" si="6"/>
        <v>2.1197007481296826E-2</v>
      </c>
      <c r="W28" s="136"/>
      <c r="X28" s="136"/>
      <c r="Y28" s="136"/>
      <c r="Z28" s="136"/>
      <c r="AA28" s="136"/>
      <c r="AB28" s="136"/>
    </row>
    <row r="29" spans="1:28" x14ac:dyDescent="0.35">
      <c r="A29" s="84" t="s">
        <v>34</v>
      </c>
      <c r="B29" s="88">
        <v>2021</v>
      </c>
      <c r="C29" s="88" t="s">
        <v>41</v>
      </c>
      <c r="D29" s="84">
        <v>156.9</v>
      </c>
      <c r="E29" s="84">
        <v>164.83333333333334</v>
      </c>
      <c r="F29" s="84">
        <v>162.6</v>
      </c>
      <c r="G29" s="84">
        <v>154</v>
      </c>
      <c r="H29" s="84">
        <v>162.1</v>
      </c>
      <c r="I29" s="84">
        <v>159.9</v>
      </c>
      <c r="J29" s="84">
        <v>168.4</v>
      </c>
      <c r="K29" s="84">
        <v>163.80000000000001</v>
      </c>
      <c r="N29" s="83">
        <f t="shared" si="0"/>
        <v>2.6768642447418722E-2</v>
      </c>
      <c r="O29" s="83">
        <f t="shared" si="1"/>
        <v>-3.2861476238625897E-3</v>
      </c>
      <c r="P29" s="83">
        <f t="shared" si="2"/>
        <v>6.7650676506765262E-3</v>
      </c>
      <c r="Q29" s="83">
        <f t="shared" si="3"/>
        <v>2.467532467532485E-2</v>
      </c>
      <c r="R29" s="83">
        <f t="shared" si="7"/>
        <v>0</v>
      </c>
      <c r="S29" s="83">
        <f t="shared" si="4"/>
        <v>3.5959974984365095E-2</v>
      </c>
      <c r="T29" s="83">
        <f t="shared" si="5"/>
        <v>2.0783847980997638E-2</v>
      </c>
      <c r="U29" s="83">
        <f t="shared" si="6"/>
        <v>2.8693528693528592E-2</v>
      </c>
      <c r="W29" s="93"/>
      <c r="X29" s="93"/>
      <c r="Y29" s="93"/>
      <c r="Z29" s="93"/>
      <c r="AA29" s="93"/>
      <c r="AB29" s="93"/>
    </row>
    <row r="30" spans="1:28" hidden="1" x14ac:dyDescent="0.35">
      <c r="A30" s="84" t="s">
        <v>30</v>
      </c>
      <c r="B30" s="80">
        <v>2021</v>
      </c>
      <c r="C30" s="80" t="s">
        <v>42</v>
      </c>
      <c r="D30" s="84">
        <v>161.1</v>
      </c>
      <c r="E30" s="84">
        <v>164.29166666666666</v>
      </c>
      <c r="F30" s="84">
        <v>163.69999999999999</v>
      </c>
      <c r="G30" s="84">
        <v>157.80000000000001</v>
      </c>
      <c r="H30" s="84">
        <v>162.1</v>
      </c>
      <c r="I30" s="84">
        <v>165.64999999999998</v>
      </c>
      <c r="J30" s="84">
        <v>171.9</v>
      </c>
      <c r="K30" s="84">
        <v>168.5</v>
      </c>
      <c r="N30" s="83">
        <f t="shared" si="0"/>
        <v>-4.345127250155123E-3</v>
      </c>
      <c r="O30" s="83">
        <f t="shared" si="1"/>
        <v>9.6880547806241779E-3</v>
      </c>
      <c r="P30" s="83">
        <f t="shared" si="2"/>
        <v>-1.7715332926084182E-2</v>
      </c>
      <c r="Q30" s="83">
        <f t="shared" si="3"/>
        <v>-4.626108998732581E-2</v>
      </c>
      <c r="R30" s="83">
        <f t="shared" si="7"/>
        <v>0</v>
      </c>
      <c r="S30" s="83">
        <f t="shared" si="4"/>
        <v>-8.4213703591910605E-2</v>
      </c>
      <c r="T30" s="83">
        <f t="shared" si="5"/>
        <v>-5.2937754508435075E-2</v>
      </c>
      <c r="U30" s="83">
        <f t="shared" si="6"/>
        <v>-4.8664688427299652E-2</v>
      </c>
    </row>
    <row r="31" spans="1:28" hidden="1" x14ac:dyDescent="0.35">
      <c r="A31" s="84" t="s">
        <v>33</v>
      </c>
      <c r="B31" s="88">
        <v>2021</v>
      </c>
      <c r="C31" s="88" t="s">
        <v>42</v>
      </c>
      <c r="D31" s="84">
        <v>160.4</v>
      </c>
      <c r="E31" s="84">
        <v>165.88333333333335</v>
      </c>
      <c r="F31" s="84">
        <v>160.80000000000001</v>
      </c>
      <c r="G31" s="84">
        <v>150.5</v>
      </c>
      <c r="H31" s="84">
        <v>162.1</v>
      </c>
      <c r="I31" s="84">
        <v>151.69999999999999</v>
      </c>
      <c r="J31" s="84">
        <v>162.80000000000001</v>
      </c>
      <c r="K31" s="84">
        <v>160.30000000000001</v>
      </c>
      <c r="N31" s="83">
        <f t="shared" si="0"/>
        <v>-5.610972568578565E-3</v>
      </c>
      <c r="O31" s="83">
        <f t="shared" si="1"/>
        <v>-6.3297498241736694E-3</v>
      </c>
      <c r="P31" s="83">
        <f t="shared" si="2"/>
        <v>1.1194029850746245E-2</v>
      </c>
      <c r="Q31" s="83">
        <f t="shared" si="3"/>
        <v>2.3255813953488413E-2</v>
      </c>
      <c r="R31" s="83">
        <f t="shared" si="7"/>
        <v>0</v>
      </c>
      <c r="S31" s="83">
        <f t="shared" si="4"/>
        <v>5.4383651944627465E-2</v>
      </c>
      <c r="T31" s="83">
        <f t="shared" si="5"/>
        <v>3.4398034398034349E-2</v>
      </c>
      <c r="U31" s="83">
        <f t="shared" si="6"/>
        <v>2.1210230817217512E-2</v>
      </c>
    </row>
    <row r="32" spans="1:28" x14ac:dyDescent="0.35">
      <c r="A32" s="84" t="s">
        <v>34</v>
      </c>
      <c r="B32" s="80">
        <v>2021</v>
      </c>
      <c r="C32" s="80" t="s">
        <v>42</v>
      </c>
      <c r="D32" s="84">
        <v>159.5</v>
      </c>
      <c r="E32" s="84">
        <v>164.83333333333334</v>
      </c>
      <c r="F32" s="84">
        <v>162.6</v>
      </c>
      <c r="G32" s="84">
        <v>154</v>
      </c>
      <c r="H32" s="84">
        <v>162.1</v>
      </c>
      <c r="I32" s="84">
        <v>159.94999999999999</v>
      </c>
      <c r="J32" s="84">
        <v>168.4</v>
      </c>
      <c r="K32" s="84">
        <v>163.69999999999999</v>
      </c>
      <c r="N32" s="83">
        <f t="shared" si="0"/>
        <v>5.0783699059561149E-2</v>
      </c>
      <c r="O32" s="83">
        <f t="shared" si="1"/>
        <v>1.0465116279069653E-2</v>
      </c>
      <c r="P32" s="83">
        <f t="shared" si="2"/>
        <v>1.7835178351783609E-2</v>
      </c>
      <c r="Q32" s="83">
        <f t="shared" si="3"/>
        <v>3.5714285714285809E-2</v>
      </c>
      <c r="R32" s="83">
        <f t="shared" si="7"/>
        <v>9.2535471930907942E-3</v>
      </c>
      <c r="S32" s="83">
        <f t="shared" si="4"/>
        <v>4.3138480775242405E-2</v>
      </c>
      <c r="T32" s="83">
        <f t="shared" si="5"/>
        <v>2.4346793349168561E-2</v>
      </c>
      <c r="U32" s="83">
        <f t="shared" si="6"/>
        <v>3.2376298106292056E-2</v>
      </c>
    </row>
    <row r="33" spans="1:21" hidden="1" x14ac:dyDescent="0.35">
      <c r="A33" s="84" t="s">
        <v>30</v>
      </c>
      <c r="B33" s="88">
        <v>2021</v>
      </c>
      <c r="C33" s="88" t="s">
        <v>43</v>
      </c>
      <c r="D33" s="84">
        <v>167.6</v>
      </c>
      <c r="E33" s="84">
        <v>166.55833333333331</v>
      </c>
      <c r="F33" s="84">
        <v>165.5</v>
      </c>
      <c r="G33" s="84">
        <v>159.5</v>
      </c>
      <c r="H33" s="84">
        <v>163.6</v>
      </c>
      <c r="I33" s="84">
        <v>166.85000000000002</v>
      </c>
      <c r="J33" s="84">
        <v>172.5</v>
      </c>
      <c r="K33" s="84">
        <v>169</v>
      </c>
      <c r="N33" s="83">
        <f t="shared" si="0"/>
        <v>-5.3699284009547377E-3</v>
      </c>
      <c r="O33" s="83">
        <f t="shared" si="1"/>
        <v>1.4109170961124962E-2</v>
      </c>
      <c r="P33" s="83">
        <f t="shared" si="2"/>
        <v>-1.9939577039274958E-2</v>
      </c>
      <c r="Q33" s="83">
        <f t="shared" si="3"/>
        <v>-4.5768025078369967E-2</v>
      </c>
      <c r="R33" s="83">
        <f t="shared" si="7"/>
        <v>0</v>
      </c>
      <c r="S33" s="83">
        <f t="shared" si="4"/>
        <v>-8.5406053341324562E-2</v>
      </c>
      <c r="T33" s="83">
        <f t="shared" si="5"/>
        <v>-5.2173913043478293E-2</v>
      </c>
      <c r="U33" s="83">
        <f t="shared" si="6"/>
        <v>-5.1479289940828288E-2</v>
      </c>
    </row>
    <row r="34" spans="1:21" hidden="1" x14ac:dyDescent="0.35">
      <c r="A34" s="84" t="s">
        <v>33</v>
      </c>
      <c r="B34" s="80">
        <v>2021</v>
      </c>
      <c r="C34" s="80" t="s">
        <v>43</v>
      </c>
      <c r="D34" s="84">
        <v>166.7</v>
      </c>
      <c r="E34" s="84">
        <v>168.90833333333336</v>
      </c>
      <c r="F34" s="84">
        <v>162.19999999999999</v>
      </c>
      <c r="G34" s="84">
        <v>152.19999999999999</v>
      </c>
      <c r="H34" s="84">
        <v>163.6</v>
      </c>
      <c r="I34" s="84">
        <v>152.60000000000002</v>
      </c>
      <c r="J34" s="84">
        <v>163.5</v>
      </c>
      <c r="K34" s="84">
        <v>160.30000000000001</v>
      </c>
      <c r="N34" s="83">
        <f t="shared" si="0"/>
        <v>-6.5986802639471653E-3</v>
      </c>
      <c r="O34" s="83">
        <f t="shared" si="1"/>
        <v>-9.4232571907839624E-3</v>
      </c>
      <c r="P34" s="83">
        <f t="shared" si="2"/>
        <v>1.2330456226880449E-2</v>
      </c>
      <c r="Q34" s="83">
        <f t="shared" si="3"/>
        <v>2.2996057818659654E-2</v>
      </c>
      <c r="R34" s="83">
        <f t="shared" si="7"/>
        <v>0</v>
      </c>
      <c r="S34" s="83">
        <f t="shared" si="4"/>
        <v>5.504587155963292E-2</v>
      </c>
      <c r="T34" s="83">
        <f t="shared" si="5"/>
        <v>3.425076452599396E-2</v>
      </c>
      <c r="U34" s="83">
        <f t="shared" si="6"/>
        <v>2.2457891453524503E-2</v>
      </c>
    </row>
    <row r="35" spans="1:21" x14ac:dyDescent="0.35">
      <c r="A35" s="84" t="s">
        <v>34</v>
      </c>
      <c r="B35" s="88">
        <v>2021</v>
      </c>
      <c r="C35" s="88" t="s">
        <v>43</v>
      </c>
      <c r="D35" s="84">
        <v>165.6</v>
      </c>
      <c r="E35" s="84">
        <v>167.31666666666669</v>
      </c>
      <c r="F35" s="84">
        <v>164.2</v>
      </c>
      <c r="G35" s="84">
        <v>155.69999999999999</v>
      </c>
      <c r="H35" s="84">
        <v>163.6</v>
      </c>
      <c r="I35" s="84">
        <v>161</v>
      </c>
      <c r="J35" s="84">
        <v>169.1</v>
      </c>
      <c r="K35" s="84">
        <v>163.9</v>
      </c>
      <c r="N35" s="83">
        <f t="shared" si="0"/>
        <v>4.2270531400967482E-3</v>
      </c>
      <c r="O35" s="83">
        <f t="shared" si="1"/>
        <v>3.3369857555531901E-3</v>
      </c>
      <c r="P35" s="83">
        <f t="shared" si="2"/>
        <v>6.6991473812425539E-3</v>
      </c>
      <c r="Q35" s="83">
        <f t="shared" si="3"/>
        <v>2.055234425176633E-2</v>
      </c>
      <c r="R35" s="83">
        <f t="shared" si="7"/>
        <v>3.6674816625916762E-3</v>
      </c>
      <c r="S35" s="83">
        <f t="shared" si="4"/>
        <v>4.4720496894409933E-2</v>
      </c>
      <c r="T35" s="83">
        <f t="shared" si="5"/>
        <v>2.5428740390301741E-2</v>
      </c>
      <c r="U35" s="83">
        <f t="shared" si="6"/>
        <v>3.2946918852959195E-2</v>
      </c>
    </row>
    <row r="36" spans="1:21" hidden="1" x14ac:dyDescent="0.35">
      <c r="A36" s="84" t="s">
        <v>30</v>
      </c>
      <c r="B36" s="80">
        <v>2021</v>
      </c>
      <c r="C36" s="80" t="s">
        <v>45</v>
      </c>
      <c r="D36" s="84">
        <v>166.3</v>
      </c>
      <c r="E36" s="84">
        <v>167.875</v>
      </c>
      <c r="F36" s="84">
        <v>165.3</v>
      </c>
      <c r="G36" s="84">
        <v>158.9</v>
      </c>
      <c r="H36" s="84">
        <v>164.2</v>
      </c>
      <c r="I36" s="84">
        <v>168.2</v>
      </c>
      <c r="J36" s="84">
        <v>173.4</v>
      </c>
      <c r="K36" s="84">
        <v>169.3</v>
      </c>
      <c r="N36" s="83">
        <f t="shared" si="0"/>
        <v>-4.8105832832231465E-3</v>
      </c>
      <c r="O36" s="83">
        <f t="shared" si="1"/>
        <v>1.4842392653263703E-2</v>
      </c>
      <c r="P36" s="83">
        <f t="shared" si="2"/>
        <v>-2.2383545069570632E-2</v>
      </c>
      <c r="Q36" s="83">
        <f t="shared" si="3"/>
        <v>-4.8458149779735837E-2</v>
      </c>
      <c r="R36" s="83">
        <f t="shared" si="7"/>
        <v>0</v>
      </c>
      <c r="S36" s="83">
        <f t="shared" si="4"/>
        <v>-8.5612366230677583E-2</v>
      </c>
      <c r="T36" s="83">
        <f t="shared" si="5"/>
        <v>-5.3056516724336866E-2</v>
      </c>
      <c r="U36" s="83">
        <f t="shared" si="6"/>
        <v>-5.0206733608978094E-2</v>
      </c>
    </row>
    <row r="37" spans="1:21" hidden="1" x14ac:dyDescent="0.35">
      <c r="A37" s="84" t="s">
        <v>33</v>
      </c>
      <c r="B37" s="88">
        <v>2021</v>
      </c>
      <c r="C37" s="88" t="s">
        <v>45</v>
      </c>
      <c r="D37" s="84">
        <v>165.5</v>
      </c>
      <c r="E37" s="84">
        <v>170.36666666666665</v>
      </c>
      <c r="F37" s="84">
        <v>161.6</v>
      </c>
      <c r="G37" s="84">
        <v>151.19999999999999</v>
      </c>
      <c r="H37" s="84">
        <v>164.2</v>
      </c>
      <c r="I37" s="84">
        <v>153.80000000000001</v>
      </c>
      <c r="J37" s="84">
        <v>164.2</v>
      </c>
      <c r="K37" s="84">
        <v>160.80000000000001</v>
      </c>
      <c r="N37" s="83">
        <f t="shared" ref="N37:N68" si="8">(D38/D37)-1</f>
        <v>-5.4380664652567967E-3</v>
      </c>
      <c r="O37" s="83">
        <f t="shared" ref="O37:O68" si="9">(E38/E37)-1</f>
        <v>-9.7828213656817598E-3</v>
      </c>
      <c r="P37" s="83">
        <f t="shared" ref="P37:P68" si="10">(F38/F37)-1</f>
        <v>1.4232673267326801E-2</v>
      </c>
      <c r="Q37" s="83">
        <f t="shared" ref="Q37:Q68" si="11">(G38/G37)-1</f>
        <v>2.3809523809523947E-2</v>
      </c>
      <c r="R37" s="83">
        <f t="shared" si="7"/>
        <v>0</v>
      </c>
      <c r="S37" s="83">
        <f t="shared" ref="S37:S68" si="12">(I38/I37)-1</f>
        <v>5.5266579973992203E-2</v>
      </c>
      <c r="T37" s="83">
        <f t="shared" ref="T37:T68" si="13">(J38/J37)-1</f>
        <v>3.4713763702801659E-2</v>
      </c>
      <c r="U37" s="83">
        <f t="shared" ref="U37:U68" si="14">(K38/K37)-1</f>
        <v>2.1766169154228798E-2</v>
      </c>
    </row>
    <row r="38" spans="1:21" x14ac:dyDescent="0.35">
      <c r="A38" s="84" t="s">
        <v>34</v>
      </c>
      <c r="B38" s="80">
        <v>2021</v>
      </c>
      <c r="C38" s="80" t="s">
        <v>45</v>
      </c>
      <c r="D38" s="84">
        <v>164.6</v>
      </c>
      <c r="E38" s="84">
        <v>168.7</v>
      </c>
      <c r="F38" s="84">
        <v>163.9</v>
      </c>
      <c r="G38" s="84">
        <v>154.80000000000001</v>
      </c>
      <c r="H38" s="84">
        <v>164.2</v>
      </c>
      <c r="I38" s="84">
        <v>162.30000000000001</v>
      </c>
      <c r="J38" s="84">
        <v>169.9</v>
      </c>
      <c r="K38" s="84">
        <v>164.3</v>
      </c>
      <c r="N38" s="83">
        <f t="shared" si="8"/>
        <v>-3.6452004860266785E-3</v>
      </c>
      <c r="O38" s="83">
        <f t="shared" si="9"/>
        <v>-1.0867417506421728E-2</v>
      </c>
      <c r="P38" s="83">
        <f t="shared" si="10"/>
        <v>1.0372178157413092E-2</v>
      </c>
      <c r="Q38" s="83">
        <f t="shared" si="11"/>
        <v>3.4237726098191201E-2</v>
      </c>
      <c r="R38" s="83">
        <f t="shared" ref="R38:R69" si="15">(H39/H38)-1</f>
        <v>-4.872107186357999E-3</v>
      </c>
      <c r="S38" s="83">
        <f t="shared" si="12"/>
        <v>4.4670363524337731E-2</v>
      </c>
      <c r="T38" s="83">
        <f t="shared" si="13"/>
        <v>2.413184226015308E-2</v>
      </c>
      <c r="U38" s="83">
        <f t="shared" si="14"/>
        <v>3.2866707242848348E-2</v>
      </c>
    </row>
    <row r="39" spans="1:21" hidden="1" x14ac:dyDescent="0.35">
      <c r="A39" s="84" t="s">
        <v>30</v>
      </c>
      <c r="B39" s="88">
        <v>2021</v>
      </c>
      <c r="C39" s="88" t="s">
        <v>46</v>
      </c>
      <c r="D39" s="84">
        <v>164</v>
      </c>
      <c r="E39" s="84">
        <v>166.86666666666665</v>
      </c>
      <c r="F39" s="84">
        <v>165.6</v>
      </c>
      <c r="G39" s="84">
        <v>160.1</v>
      </c>
      <c r="H39" s="84">
        <v>163.4</v>
      </c>
      <c r="I39" s="84">
        <v>169.55</v>
      </c>
      <c r="J39" s="84">
        <v>174</v>
      </c>
      <c r="K39" s="84">
        <v>169.7</v>
      </c>
      <c r="N39" s="83">
        <f t="shared" si="8"/>
        <v>-4.8780487804879202E-3</v>
      </c>
      <c r="O39" s="83">
        <f t="shared" si="9"/>
        <v>1.5831002796644178E-2</v>
      </c>
      <c r="P39" s="83">
        <f t="shared" si="10"/>
        <v>-2.3550724637681153E-2</v>
      </c>
      <c r="Q39" s="83">
        <f t="shared" si="11"/>
        <v>-5.1842598376014903E-2</v>
      </c>
      <c r="R39" s="83">
        <f t="shared" si="15"/>
        <v>0</v>
      </c>
      <c r="S39" s="83">
        <f t="shared" si="12"/>
        <v>-8.5815393689177344E-2</v>
      </c>
      <c r="T39" s="83">
        <f t="shared" si="13"/>
        <v>-5.1149425287356332E-2</v>
      </c>
      <c r="U39" s="83">
        <f t="shared" si="14"/>
        <v>-5.3624042427813712E-2</v>
      </c>
    </row>
    <row r="40" spans="1:21" hidden="1" x14ac:dyDescent="0.35">
      <c r="A40" s="84" t="s">
        <v>33</v>
      </c>
      <c r="B40" s="80">
        <v>2021</v>
      </c>
      <c r="C40" s="80" t="s">
        <v>46</v>
      </c>
      <c r="D40" s="84">
        <v>163.19999999999999</v>
      </c>
      <c r="E40" s="84">
        <v>169.50833333333335</v>
      </c>
      <c r="F40" s="84">
        <v>161.69999999999999</v>
      </c>
      <c r="G40" s="84">
        <v>151.80000000000001</v>
      </c>
      <c r="H40" s="84">
        <v>163.4</v>
      </c>
      <c r="I40" s="84">
        <v>155</v>
      </c>
      <c r="J40" s="84">
        <v>165.1</v>
      </c>
      <c r="K40" s="84">
        <v>160.6</v>
      </c>
      <c r="N40" s="83">
        <f t="shared" si="8"/>
        <v>-5.5147058823528106E-3</v>
      </c>
      <c r="O40" s="83">
        <f t="shared" si="9"/>
        <v>-1.0520623371515825E-2</v>
      </c>
      <c r="P40" s="83">
        <f t="shared" si="10"/>
        <v>1.4842300556586308E-2</v>
      </c>
      <c r="Q40" s="83">
        <f t="shared" si="11"/>
        <v>2.5691699604742935E-2</v>
      </c>
      <c r="R40" s="83">
        <f t="shared" si="15"/>
        <v>0</v>
      </c>
      <c r="S40" s="83">
        <f t="shared" si="12"/>
        <v>5.5483870967741877E-2</v>
      </c>
      <c r="T40" s="83">
        <f t="shared" si="13"/>
        <v>3.3313143549364099E-2</v>
      </c>
      <c r="U40" s="83">
        <f t="shared" si="14"/>
        <v>2.3661270236612797E-2</v>
      </c>
    </row>
    <row r="41" spans="1:21" x14ac:dyDescent="0.35">
      <c r="A41" s="84" t="s">
        <v>34</v>
      </c>
      <c r="B41" s="88">
        <v>2021</v>
      </c>
      <c r="C41" s="88" t="s">
        <v>46</v>
      </c>
      <c r="D41" s="84">
        <v>162.30000000000001</v>
      </c>
      <c r="E41" s="84">
        <v>167.72499999999999</v>
      </c>
      <c r="F41" s="84">
        <v>164.1</v>
      </c>
      <c r="G41" s="84">
        <v>155.69999999999999</v>
      </c>
      <c r="H41" s="84">
        <v>163.4</v>
      </c>
      <c r="I41" s="84">
        <v>163.6</v>
      </c>
      <c r="J41" s="84">
        <v>170.6</v>
      </c>
      <c r="K41" s="84">
        <v>164.4</v>
      </c>
      <c r="N41" s="83">
        <f t="shared" si="8"/>
        <v>8.687615526802217E-2</v>
      </c>
      <c r="O41" s="83">
        <f t="shared" si="9"/>
        <v>-1.1824911810006555E-2</v>
      </c>
      <c r="P41" s="83">
        <f t="shared" si="10"/>
        <v>1.0359536867763586E-2</v>
      </c>
      <c r="Q41" s="83">
        <f t="shared" si="11"/>
        <v>3.2755298651252485E-2</v>
      </c>
      <c r="R41" s="83">
        <f t="shared" si="15"/>
        <v>6.7319461444308448E-3</v>
      </c>
      <c r="S41" s="83">
        <f t="shared" si="12"/>
        <v>4.6760391198044093E-2</v>
      </c>
      <c r="T41" s="83">
        <f t="shared" si="13"/>
        <v>2.4032825322391593E-2</v>
      </c>
      <c r="U41" s="83">
        <f t="shared" si="14"/>
        <v>3.345498783454981E-2</v>
      </c>
    </row>
    <row r="42" spans="1:21" hidden="1" x14ac:dyDescent="0.35">
      <c r="A42" s="84" t="s">
        <v>30</v>
      </c>
      <c r="B42" s="80">
        <v>2022</v>
      </c>
      <c r="C42" s="80" t="s">
        <v>31</v>
      </c>
      <c r="D42" s="84">
        <v>176.4</v>
      </c>
      <c r="E42" s="84">
        <v>165.74166666666665</v>
      </c>
      <c r="F42" s="84">
        <v>165.8</v>
      </c>
      <c r="G42" s="84">
        <v>160.80000000000001</v>
      </c>
      <c r="H42" s="84">
        <v>164.5</v>
      </c>
      <c r="I42" s="84">
        <v>171.25</v>
      </c>
      <c r="J42" s="84">
        <v>174.7</v>
      </c>
      <c r="K42" s="84">
        <v>169.9</v>
      </c>
      <c r="N42" s="83">
        <f t="shared" si="8"/>
        <v>-6.2358276643990074E-3</v>
      </c>
      <c r="O42" s="83">
        <f t="shared" si="9"/>
        <v>1.3826738398109439E-2</v>
      </c>
      <c r="P42" s="83">
        <f t="shared" si="10"/>
        <v>-2.5331724969843261E-2</v>
      </c>
      <c r="Q42" s="83">
        <f t="shared" si="11"/>
        <v>-5.0373134328358327E-2</v>
      </c>
      <c r="R42" s="83">
        <f t="shared" si="15"/>
        <v>0</v>
      </c>
      <c r="S42" s="83">
        <f t="shared" si="12"/>
        <v>-8.554744525547453E-2</v>
      </c>
      <c r="T42" s="83">
        <f t="shared" si="13"/>
        <v>-4.9227246708643313E-2</v>
      </c>
      <c r="U42" s="83">
        <f t="shared" si="14"/>
        <v>-5.2383755150088307E-2</v>
      </c>
    </row>
    <row r="43" spans="1:21" hidden="1" x14ac:dyDescent="0.35">
      <c r="A43" s="84" t="s">
        <v>33</v>
      </c>
      <c r="B43" s="88">
        <v>2022</v>
      </c>
      <c r="C43" s="88" t="s">
        <v>31</v>
      </c>
      <c r="D43" s="84">
        <v>175.3</v>
      </c>
      <c r="E43" s="84">
        <v>168.0333333333333</v>
      </c>
      <c r="F43" s="84">
        <v>161.6</v>
      </c>
      <c r="G43" s="84">
        <v>152.69999999999999</v>
      </c>
      <c r="H43" s="84">
        <v>164.5</v>
      </c>
      <c r="I43" s="84">
        <v>156.6</v>
      </c>
      <c r="J43" s="84">
        <v>166.1</v>
      </c>
      <c r="K43" s="84">
        <v>161</v>
      </c>
      <c r="N43" s="83">
        <f t="shared" si="8"/>
        <v>-6.8454078722191003E-3</v>
      </c>
      <c r="O43" s="83">
        <f t="shared" si="9"/>
        <v>-9.2243602459828322E-3</v>
      </c>
      <c r="P43" s="83">
        <f t="shared" si="10"/>
        <v>1.6089108910890992E-2</v>
      </c>
      <c r="Q43" s="83">
        <f t="shared" si="11"/>
        <v>2.4885396201702825E-2</v>
      </c>
      <c r="R43" s="83">
        <f t="shared" si="15"/>
        <v>0</v>
      </c>
      <c r="S43" s="83">
        <f t="shared" si="12"/>
        <v>5.555555555555558E-2</v>
      </c>
      <c r="T43" s="83">
        <f t="shared" si="13"/>
        <v>3.1908488862131268E-2</v>
      </c>
      <c r="U43" s="83">
        <f t="shared" si="14"/>
        <v>2.2981366459627228E-2</v>
      </c>
    </row>
    <row r="44" spans="1:21" x14ac:dyDescent="0.35">
      <c r="A44" s="84" t="s">
        <v>34</v>
      </c>
      <c r="B44" s="80">
        <v>2022</v>
      </c>
      <c r="C44" s="80" t="s">
        <v>31</v>
      </c>
      <c r="D44" s="84">
        <v>174.1</v>
      </c>
      <c r="E44" s="84">
        <v>166.48333333333332</v>
      </c>
      <c r="F44" s="84">
        <v>164.2</v>
      </c>
      <c r="G44" s="84">
        <v>156.5</v>
      </c>
      <c r="H44" s="84">
        <v>164.5</v>
      </c>
      <c r="I44" s="84">
        <v>165.3</v>
      </c>
      <c r="J44" s="84">
        <v>171.4</v>
      </c>
      <c r="K44" s="84">
        <v>164.7</v>
      </c>
      <c r="N44" s="83">
        <f t="shared" si="8"/>
        <v>2.1826536473291247E-2</v>
      </c>
      <c r="O44" s="83">
        <f t="shared" si="9"/>
        <v>-5.656221844028364E-3</v>
      </c>
      <c r="P44" s="83">
        <f t="shared" si="10"/>
        <v>1.948842874543244E-2</v>
      </c>
      <c r="Q44" s="83">
        <f t="shared" si="11"/>
        <v>3.0031948881789061E-2</v>
      </c>
      <c r="R44" s="83">
        <f t="shared" si="15"/>
        <v>6.0790273556230456E-3</v>
      </c>
      <c r="S44" s="83">
        <f t="shared" si="12"/>
        <v>4.3859649122806932E-2</v>
      </c>
      <c r="T44" s="83">
        <f t="shared" si="13"/>
        <v>2.2753792298716435E-2</v>
      </c>
      <c r="U44" s="83">
        <f t="shared" si="14"/>
        <v>3.4001214329083318E-2</v>
      </c>
    </row>
    <row r="45" spans="1:21" hidden="1" x14ac:dyDescent="0.35">
      <c r="A45" s="84" t="s">
        <v>30</v>
      </c>
      <c r="B45" s="88">
        <v>2022</v>
      </c>
      <c r="C45" s="88" t="s">
        <v>35</v>
      </c>
      <c r="D45" s="84">
        <v>177.9</v>
      </c>
      <c r="E45" s="84">
        <v>165.54166666666666</v>
      </c>
      <c r="F45" s="84">
        <v>167.4</v>
      </c>
      <c r="G45" s="84">
        <v>161.19999999999999</v>
      </c>
      <c r="H45" s="84">
        <v>165.5</v>
      </c>
      <c r="I45" s="84">
        <v>172.55</v>
      </c>
      <c r="J45" s="84">
        <v>175.3</v>
      </c>
      <c r="K45" s="84">
        <v>170.3</v>
      </c>
      <c r="N45" s="83">
        <f t="shared" si="8"/>
        <v>-6.7453625632378778E-3</v>
      </c>
      <c r="O45" s="83">
        <f t="shared" si="9"/>
        <v>1.3491064686634857E-2</v>
      </c>
      <c r="P45" s="83">
        <f t="shared" si="10"/>
        <v>-2.6284348864994089E-2</v>
      </c>
      <c r="Q45" s="83">
        <f t="shared" si="11"/>
        <v>-5.0248138957816324E-2</v>
      </c>
      <c r="R45" s="83">
        <f t="shared" si="15"/>
        <v>0</v>
      </c>
      <c r="S45" s="83">
        <f t="shared" si="12"/>
        <v>-8.4033613445378186E-2</v>
      </c>
      <c r="T45" s="83">
        <f t="shared" si="13"/>
        <v>-4.620650313747876E-2</v>
      </c>
      <c r="U45" s="83">
        <f t="shared" si="14"/>
        <v>-4.8737522019964841E-2</v>
      </c>
    </row>
    <row r="46" spans="1:21" hidden="1" x14ac:dyDescent="0.35">
      <c r="A46" s="84" t="s">
        <v>33</v>
      </c>
      <c r="B46" s="80">
        <v>2022</v>
      </c>
      <c r="C46" s="80" t="s">
        <v>35</v>
      </c>
      <c r="D46" s="84">
        <v>176.7</v>
      </c>
      <c r="E46" s="84">
        <v>167.77500000000001</v>
      </c>
      <c r="F46" s="84">
        <v>163</v>
      </c>
      <c r="G46" s="84">
        <v>153.1</v>
      </c>
      <c r="H46" s="84">
        <v>165.5</v>
      </c>
      <c r="I46" s="84">
        <v>158.05000000000001</v>
      </c>
      <c r="J46" s="84">
        <v>167.2</v>
      </c>
      <c r="K46" s="84">
        <v>162</v>
      </c>
      <c r="N46" s="83">
        <f t="shared" si="8"/>
        <v>-7.9230333899262817E-3</v>
      </c>
      <c r="O46" s="83">
        <f t="shared" si="9"/>
        <v>-9.0895544628221137E-3</v>
      </c>
      <c r="P46" s="83">
        <f t="shared" si="10"/>
        <v>1.6564417177914015E-2</v>
      </c>
      <c r="Q46" s="83">
        <f t="shared" si="11"/>
        <v>2.4820378837361323E-2</v>
      </c>
      <c r="R46" s="83">
        <f t="shared" si="15"/>
        <v>0</v>
      </c>
      <c r="S46" s="83">
        <f t="shared" si="12"/>
        <v>5.4096804808605015E-2</v>
      </c>
      <c r="T46" s="83">
        <f t="shared" si="13"/>
        <v>2.9904306220095656E-2</v>
      </c>
      <c r="U46" s="83">
        <f t="shared" si="14"/>
        <v>2.0987654320987703E-2</v>
      </c>
    </row>
    <row r="47" spans="1:21" x14ac:dyDescent="0.35">
      <c r="A47" s="84" t="s">
        <v>34</v>
      </c>
      <c r="B47" s="88">
        <v>2022</v>
      </c>
      <c r="C47" s="88" t="s">
        <v>35</v>
      </c>
      <c r="D47" s="84">
        <v>175.3</v>
      </c>
      <c r="E47" s="84">
        <v>166.25000000000003</v>
      </c>
      <c r="F47" s="84">
        <v>165.7</v>
      </c>
      <c r="G47" s="84">
        <v>156.9</v>
      </c>
      <c r="H47" s="84">
        <v>165.5</v>
      </c>
      <c r="I47" s="84">
        <v>166.60000000000002</v>
      </c>
      <c r="J47" s="84">
        <v>172.2</v>
      </c>
      <c r="K47" s="84">
        <v>165.4</v>
      </c>
      <c r="N47" s="83">
        <f t="shared" si="8"/>
        <v>1.426126640045644E-2</v>
      </c>
      <c r="O47" s="83">
        <f t="shared" si="9"/>
        <v>8.7719298245612087E-3</v>
      </c>
      <c r="P47" s="83">
        <f t="shared" si="10"/>
        <v>1.931200965600488E-2</v>
      </c>
      <c r="Q47" s="83">
        <f t="shared" si="11"/>
        <v>3.2504780114722687E-2</v>
      </c>
      <c r="R47" s="83">
        <f t="shared" si="15"/>
        <v>-1.2084592145014117E-3</v>
      </c>
      <c r="S47" s="83">
        <f t="shared" si="12"/>
        <v>4.6218487394957819E-2</v>
      </c>
      <c r="T47" s="83">
        <f t="shared" si="13"/>
        <v>2.2067363530778206E-2</v>
      </c>
      <c r="U47" s="83">
        <f t="shared" si="14"/>
        <v>3.1438935912938337E-2</v>
      </c>
    </row>
    <row r="48" spans="1:21" hidden="1" x14ac:dyDescent="0.35">
      <c r="A48" s="84" t="s">
        <v>30</v>
      </c>
      <c r="B48" s="80">
        <v>2022</v>
      </c>
      <c r="C48" s="80" t="s">
        <v>36</v>
      </c>
      <c r="D48" s="84">
        <v>177.8</v>
      </c>
      <c r="E48" s="84">
        <v>167.70833333333334</v>
      </c>
      <c r="F48" s="84">
        <v>168.9</v>
      </c>
      <c r="G48" s="84">
        <v>162</v>
      </c>
      <c r="H48" s="84">
        <v>165.3</v>
      </c>
      <c r="I48" s="84">
        <v>174.3</v>
      </c>
      <c r="J48" s="84">
        <v>176</v>
      </c>
      <c r="K48" s="84">
        <v>170.6</v>
      </c>
      <c r="N48" s="83">
        <f t="shared" si="8"/>
        <v>-7.311586051743646E-3</v>
      </c>
      <c r="O48" s="83">
        <f t="shared" si="9"/>
        <v>6.1118012422360923E-3</v>
      </c>
      <c r="P48" s="83">
        <f t="shared" si="10"/>
        <v>-2.6050917702782783E-2</v>
      </c>
      <c r="Q48" s="83">
        <f t="shared" si="11"/>
        <v>-4.8148148148148273E-2</v>
      </c>
      <c r="R48" s="83">
        <f t="shared" si="15"/>
        <v>0</v>
      </c>
      <c r="S48" s="83">
        <f t="shared" si="12"/>
        <v>-8.2903040734366162E-2</v>
      </c>
      <c r="T48" s="83">
        <f t="shared" si="13"/>
        <v>-4.4318181818181923E-2</v>
      </c>
      <c r="U48" s="83">
        <f t="shared" si="14"/>
        <v>-4.6307151230949639E-2</v>
      </c>
    </row>
    <row r="49" spans="1:21" hidden="1" x14ac:dyDescent="0.35">
      <c r="A49" s="84" t="s">
        <v>33</v>
      </c>
      <c r="B49" s="88">
        <v>2022</v>
      </c>
      <c r="C49" s="88" t="s">
        <v>36</v>
      </c>
      <c r="D49" s="84">
        <v>176.5</v>
      </c>
      <c r="E49" s="84">
        <v>168.73333333333335</v>
      </c>
      <c r="F49" s="84">
        <v>164.5</v>
      </c>
      <c r="G49" s="84">
        <v>154.19999999999999</v>
      </c>
      <c r="H49" s="84">
        <v>165.3</v>
      </c>
      <c r="I49" s="84">
        <v>159.85</v>
      </c>
      <c r="J49" s="84">
        <v>168.2</v>
      </c>
      <c r="K49" s="84">
        <v>162.69999999999999</v>
      </c>
      <c r="N49" s="83">
        <f t="shared" si="8"/>
        <v>-1.3597733711048221E-2</v>
      </c>
      <c r="O49" s="83">
        <f t="shared" si="9"/>
        <v>-4.4448834452784913E-3</v>
      </c>
      <c r="P49" s="83">
        <f t="shared" si="10"/>
        <v>1.6413373860182379E-2</v>
      </c>
      <c r="Q49" s="83">
        <f t="shared" si="11"/>
        <v>2.399481193255526E-2</v>
      </c>
      <c r="R49" s="83">
        <f t="shared" si="15"/>
        <v>0</v>
      </c>
      <c r="S49" s="83">
        <f t="shared" si="12"/>
        <v>5.3174851423209324E-2</v>
      </c>
      <c r="T49" s="83">
        <f t="shared" si="13"/>
        <v>2.8537455410226009E-2</v>
      </c>
      <c r="U49" s="83">
        <f t="shared" si="14"/>
        <v>2.0282728948985973E-2</v>
      </c>
    </row>
    <row r="50" spans="1:21" x14ac:dyDescent="0.35">
      <c r="A50" s="84" t="s">
        <v>34</v>
      </c>
      <c r="B50" s="80">
        <v>2022</v>
      </c>
      <c r="C50" s="80" t="s">
        <v>36</v>
      </c>
      <c r="D50" s="84">
        <v>174.1</v>
      </c>
      <c r="E50" s="84">
        <v>167.98333333333335</v>
      </c>
      <c r="F50" s="84">
        <v>167.2</v>
      </c>
      <c r="G50" s="84">
        <v>157.9</v>
      </c>
      <c r="H50" s="84">
        <v>165.3</v>
      </c>
      <c r="I50" s="84">
        <v>168.35</v>
      </c>
      <c r="J50" s="84">
        <v>173</v>
      </c>
      <c r="K50" s="84">
        <v>166</v>
      </c>
      <c r="N50" s="83">
        <f t="shared" si="8"/>
        <v>-9.1901206203330865E-3</v>
      </c>
      <c r="O50" s="83">
        <f t="shared" si="9"/>
        <v>1.1012997321162787E-2</v>
      </c>
      <c r="P50" s="83">
        <f t="shared" si="10"/>
        <v>3.6483253588516895E-2</v>
      </c>
      <c r="Q50" s="83">
        <f t="shared" si="11"/>
        <v>5.2564914502849724E-2</v>
      </c>
      <c r="R50" s="83">
        <f t="shared" si="15"/>
        <v>1.0284331518451317E-2</v>
      </c>
      <c r="S50" s="83">
        <f t="shared" si="12"/>
        <v>4.7223047223047265E-2</v>
      </c>
      <c r="T50" s="83">
        <f t="shared" si="13"/>
        <v>2.3121387283236983E-2</v>
      </c>
      <c r="U50" s="83">
        <f t="shared" si="14"/>
        <v>2.9518072289156594E-2</v>
      </c>
    </row>
    <row r="51" spans="1:21" hidden="1" x14ac:dyDescent="0.35">
      <c r="A51" s="84" t="s">
        <v>30</v>
      </c>
      <c r="B51" s="88">
        <v>2022</v>
      </c>
      <c r="C51" s="88" t="s">
        <v>37</v>
      </c>
      <c r="D51" s="84">
        <v>172.5</v>
      </c>
      <c r="E51" s="84">
        <v>169.83333333333334</v>
      </c>
      <c r="F51" s="84">
        <v>173.3</v>
      </c>
      <c r="G51" s="84">
        <v>166.2</v>
      </c>
      <c r="H51" s="84">
        <v>167</v>
      </c>
      <c r="I51" s="84">
        <v>176.3</v>
      </c>
      <c r="J51" s="84">
        <v>177</v>
      </c>
      <c r="K51" s="84">
        <v>170.9</v>
      </c>
      <c r="N51" s="83">
        <f t="shared" si="8"/>
        <v>-4.6376811594203149E-3</v>
      </c>
      <c r="O51" s="83">
        <f t="shared" si="9"/>
        <v>8.7831207065751649E-3</v>
      </c>
      <c r="P51" s="83">
        <f t="shared" si="10"/>
        <v>-1.6156953260242468E-2</v>
      </c>
      <c r="Q51" s="83">
        <f t="shared" si="11"/>
        <v>-4.1516245487364434E-2</v>
      </c>
      <c r="R51" s="83">
        <f t="shared" si="15"/>
        <v>0</v>
      </c>
      <c r="S51" s="83">
        <f t="shared" si="12"/>
        <v>-8.4231423709586029E-2</v>
      </c>
      <c r="T51" s="83">
        <f t="shared" si="13"/>
        <v>-4.5197740112994378E-2</v>
      </c>
      <c r="U51" s="83">
        <f t="shared" si="14"/>
        <v>-4.0374488004681131E-2</v>
      </c>
    </row>
    <row r="52" spans="1:21" hidden="1" x14ac:dyDescent="0.35">
      <c r="A52" s="84" t="s">
        <v>33</v>
      </c>
      <c r="B52" s="80">
        <v>2022</v>
      </c>
      <c r="C52" s="80" t="s">
        <v>37</v>
      </c>
      <c r="D52" s="84">
        <v>171.7</v>
      </c>
      <c r="E52" s="84">
        <v>171.32500000000002</v>
      </c>
      <c r="F52" s="84">
        <v>170.5</v>
      </c>
      <c r="G52" s="84">
        <v>159.30000000000001</v>
      </c>
      <c r="H52" s="84">
        <v>167</v>
      </c>
      <c r="I52" s="84">
        <v>161.44999999999999</v>
      </c>
      <c r="J52" s="84">
        <v>169</v>
      </c>
      <c r="K52" s="84">
        <v>164</v>
      </c>
      <c r="N52" s="83">
        <f t="shared" si="8"/>
        <v>-5.2417006406522137E-3</v>
      </c>
      <c r="O52" s="83">
        <f t="shared" si="9"/>
        <v>-6.0314217617588595E-3</v>
      </c>
      <c r="P52" s="83">
        <f t="shared" si="10"/>
        <v>9.9706744868035546E-3</v>
      </c>
      <c r="Q52" s="83">
        <f t="shared" si="11"/>
        <v>2.0715630885122405E-2</v>
      </c>
      <c r="R52" s="83">
        <f t="shared" si="15"/>
        <v>0</v>
      </c>
      <c r="S52" s="83">
        <f t="shared" si="12"/>
        <v>5.419634561783826E-2</v>
      </c>
      <c r="T52" s="83">
        <f t="shared" si="13"/>
        <v>2.9585798816567976E-2</v>
      </c>
      <c r="U52" s="83">
        <f t="shared" si="14"/>
        <v>1.7682926829268419E-2</v>
      </c>
    </row>
    <row r="53" spans="1:21" x14ac:dyDescent="0.35">
      <c r="A53" s="84" t="s">
        <v>34</v>
      </c>
      <c r="B53" s="88">
        <v>2022</v>
      </c>
      <c r="C53" s="88" t="s">
        <v>37</v>
      </c>
      <c r="D53" s="84">
        <v>170.8</v>
      </c>
      <c r="E53" s="84">
        <v>170.29166666666669</v>
      </c>
      <c r="F53" s="84">
        <v>172.2</v>
      </c>
      <c r="G53" s="84">
        <v>162.6</v>
      </c>
      <c r="H53" s="84">
        <v>167</v>
      </c>
      <c r="I53" s="84">
        <v>170.2</v>
      </c>
      <c r="J53" s="84">
        <v>174</v>
      </c>
      <c r="K53" s="84">
        <v>166.9</v>
      </c>
      <c r="N53" s="83">
        <f t="shared" si="8"/>
        <v>-1.2295081967213295E-2</v>
      </c>
      <c r="O53" s="83">
        <f t="shared" si="9"/>
        <v>6.1169562025935598E-3</v>
      </c>
      <c r="P53" s="83">
        <f t="shared" si="10"/>
        <v>1.8002322880371846E-2</v>
      </c>
      <c r="Q53" s="83">
        <f t="shared" si="11"/>
        <v>2.7675276752767486E-2</v>
      </c>
      <c r="R53" s="83">
        <f t="shared" si="15"/>
        <v>2.9940119760478723E-3</v>
      </c>
      <c r="S53" s="83">
        <f t="shared" si="12"/>
        <v>4.7297297297297369E-2</v>
      </c>
      <c r="T53" s="83">
        <f t="shared" si="13"/>
        <v>2.1264367816091978E-2</v>
      </c>
      <c r="U53" s="83">
        <f t="shared" si="14"/>
        <v>2.9358897543439122E-2</v>
      </c>
    </row>
    <row r="54" spans="1:21" hidden="1" x14ac:dyDescent="0.35">
      <c r="A54" s="84" t="s">
        <v>30</v>
      </c>
      <c r="B54" s="80">
        <v>2022</v>
      </c>
      <c r="C54" s="80" t="s">
        <v>38</v>
      </c>
      <c r="D54" s="84">
        <v>168.7</v>
      </c>
      <c r="E54" s="84">
        <v>171.33333333333334</v>
      </c>
      <c r="F54" s="84">
        <v>175.3</v>
      </c>
      <c r="G54" s="84">
        <v>167.1</v>
      </c>
      <c r="H54" s="84">
        <v>167.5</v>
      </c>
      <c r="I54" s="84">
        <v>178.25</v>
      </c>
      <c r="J54" s="84">
        <v>177.7</v>
      </c>
      <c r="K54" s="84">
        <v>171.8</v>
      </c>
      <c r="N54" s="83">
        <f t="shared" si="8"/>
        <v>-5.927682276229973E-3</v>
      </c>
      <c r="O54" s="83">
        <f t="shared" si="9"/>
        <v>1.3959143968871768E-2</v>
      </c>
      <c r="P54" s="83">
        <f t="shared" si="10"/>
        <v>-1.026811180832865E-2</v>
      </c>
      <c r="Q54" s="83">
        <f t="shared" si="11"/>
        <v>-4.6080191502094525E-2</v>
      </c>
      <c r="R54" s="83">
        <f t="shared" si="15"/>
        <v>0</v>
      </c>
      <c r="S54" s="83">
        <f t="shared" si="12"/>
        <v>-8.5834502103786847E-2</v>
      </c>
      <c r="T54" s="83">
        <f t="shared" si="13"/>
        <v>-4.2768711311198637E-2</v>
      </c>
      <c r="U54" s="83">
        <f t="shared" si="14"/>
        <v>-3.8416763678696286E-2</v>
      </c>
    </row>
    <row r="55" spans="1:21" hidden="1" x14ac:dyDescent="0.35">
      <c r="A55" s="84" t="s">
        <v>33</v>
      </c>
      <c r="B55" s="88">
        <v>2022</v>
      </c>
      <c r="C55" s="88" t="s">
        <v>38</v>
      </c>
      <c r="D55" s="84">
        <v>167.7</v>
      </c>
      <c r="E55" s="84">
        <v>173.72500000000002</v>
      </c>
      <c r="F55" s="84">
        <v>173.5</v>
      </c>
      <c r="G55" s="84">
        <v>159.4</v>
      </c>
      <c r="H55" s="84">
        <v>167.5</v>
      </c>
      <c r="I55" s="84">
        <v>162.94999999999999</v>
      </c>
      <c r="J55" s="84">
        <v>170.1</v>
      </c>
      <c r="K55" s="84">
        <v>165.2</v>
      </c>
      <c r="N55" s="83">
        <f t="shared" si="8"/>
        <v>-7.1556350626117426E-3</v>
      </c>
      <c r="O55" s="83">
        <f t="shared" si="9"/>
        <v>-9.1619897347340329E-3</v>
      </c>
      <c r="P55" s="83">
        <f t="shared" si="10"/>
        <v>6.3400576368874972E-3</v>
      </c>
      <c r="Q55" s="83">
        <f t="shared" si="11"/>
        <v>2.2584692597239719E-2</v>
      </c>
      <c r="R55" s="83">
        <f t="shared" si="15"/>
        <v>0</v>
      </c>
      <c r="S55" s="83">
        <f t="shared" si="12"/>
        <v>5.5538508745013981E-2</v>
      </c>
      <c r="T55" s="83">
        <f t="shared" si="13"/>
        <v>2.7630805408583203E-2</v>
      </c>
      <c r="U55" s="83">
        <f t="shared" si="14"/>
        <v>1.6343825665859679E-2</v>
      </c>
    </row>
    <row r="56" spans="1:21" x14ac:dyDescent="0.35">
      <c r="A56" s="84" t="s">
        <v>34</v>
      </c>
      <c r="B56" s="80">
        <v>2022</v>
      </c>
      <c r="C56" s="80" t="s">
        <v>38</v>
      </c>
      <c r="D56" s="84">
        <v>166.5</v>
      </c>
      <c r="E56" s="84">
        <v>172.13333333333335</v>
      </c>
      <c r="F56" s="84">
        <v>174.6</v>
      </c>
      <c r="G56" s="84">
        <v>163</v>
      </c>
      <c r="H56" s="84">
        <v>167.5</v>
      </c>
      <c r="I56" s="84">
        <v>172</v>
      </c>
      <c r="J56" s="84">
        <v>174.8</v>
      </c>
      <c r="K56" s="84">
        <v>167.9</v>
      </c>
      <c r="N56" s="83">
        <f t="shared" si="8"/>
        <v>4.2642642642642503E-2</v>
      </c>
      <c r="O56" s="83">
        <f t="shared" si="9"/>
        <v>4.9864446165761578E-3</v>
      </c>
      <c r="P56" s="83">
        <f t="shared" si="10"/>
        <v>1.2027491408934665E-2</v>
      </c>
      <c r="Q56" s="83">
        <f t="shared" si="11"/>
        <v>1.5337423312883347E-2</v>
      </c>
      <c r="R56" s="83">
        <f t="shared" si="15"/>
        <v>-4.179104477611828E-3</v>
      </c>
      <c r="S56" s="83">
        <f t="shared" si="12"/>
        <v>4.4767441860465107E-2</v>
      </c>
      <c r="T56" s="83">
        <f t="shared" si="13"/>
        <v>1.9450800915331579E-2</v>
      </c>
      <c r="U56" s="83">
        <f t="shared" si="14"/>
        <v>2.7992852888624187E-2</v>
      </c>
    </row>
    <row r="57" spans="1:21" hidden="1" x14ac:dyDescent="0.35">
      <c r="A57" s="84" t="s">
        <v>30</v>
      </c>
      <c r="B57" s="88">
        <v>2022</v>
      </c>
      <c r="C57" s="88" t="s">
        <v>39</v>
      </c>
      <c r="D57" s="84">
        <v>173.6</v>
      </c>
      <c r="E57" s="84">
        <v>172.99166666666667</v>
      </c>
      <c r="F57" s="84">
        <v>176.7</v>
      </c>
      <c r="G57" s="84">
        <v>165.5</v>
      </c>
      <c r="H57" s="84">
        <v>166.8</v>
      </c>
      <c r="I57" s="84">
        <v>179.7</v>
      </c>
      <c r="J57" s="84">
        <v>178.2</v>
      </c>
      <c r="K57" s="84">
        <v>172.6</v>
      </c>
      <c r="N57" s="83">
        <f t="shared" si="8"/>
        <v>-5.7603686635944173E-3</v>
      </c>
      <c r="O57" s="83">
        <f t="shared" si="9"/>
        <v>1.5559516354352043E-2</v>
      </c>
      <c r="P57" s="83">
        <f t="shared" si="10"/>
        <v>-1.0186757215619568E-2</v>
      </c>
      <c r="Q57" s="83">
        <f t="shared" si="11"/>
        <v>-5.0151057401812804E-2</v>
      </c>
      <c r="R57" s="83">
        <f t="shared" si="15"/>
        <v>0</v>
      </c>
      <c r="S57" s="83">
        <f t="shared" si="12"/>
        <v>-8.4585420144685508E-2</v>
      </c>
      <c r="T57" s="83">
        <f t="shared" si="13"/>
        <v>-4.0965207631874168E-2</v>
      </c>
      <c r="U57" s="83">
        <f t="shared" si="14"/>
        <v>-3.5341830822711473E-2</v>
      </c>
    </row>
    <row r="58" spans="1:21" hidden="1" x14ac:dyDescent="0.35">
      <c r="A58" s="84" t="s">
        <v>33</v>
      </c>
      <c r="B58" s="80">
        <v>2022</v>
      </c>
      <c r="C58" s="80" t="s">
        <v>39</v>
      </c>
      <c r="D58" s="84">
        <v>172.6</v>
      </c>
      <c r="E58" s="84">
        <v>175.68333333333331</v>
      </c>
      <c r="F58" s="84">
        <v>174.9</v>
      </c>
      <c r="G58" s="84">
        <v>157.19999999999999</v>
      </c>
      <c r="H58" s="84">
        <v>166.8</v>
      </c>
      <c r="I58" s="84">
        <v>164.5</v>
      </c>
      <c r="J58" s="84">
        <v>170.9</v>
      </c>
      <c r="K58" s="84">
        <v>166.5</v>
      </c>
      <c r="N58" s="83">
        <f t="shared" si="8"/>
        <v>-6.9524913093857998E-3</v>
      </c>
      <c r="O58" s="83">
        <f t="shared" si="9"/>
        <v>-1.0055971919172624E-2</v>
      </c>
      <c r="P58" s="83">
        <f t="shared" si="10"/>
        <v>6.2893081761006275E-3</v>
      </c>
      <c r="Q58" s="83">
        <f t="shared" si="11"/>
        <v>2.4809160305343525E-2</v>
      </c>
      <c r="R58" s="83">
        <f t="shared" si="15"/>
        <v>0</v>
      </c>
      <c r="S58" s="83">
        <f t="shared" si="12"/>
        <v>5.4711246200607855E-2</v>
      </c>
      <c r="T58" s="83">
        <f t="shared" si="13"/>
        <v>2.6331187829139902E-2</v>
      </c>
      <c r="U58" s="83">
        <f t="shared" si="14"/>
        <v>1.501501501501501E-2</v>
      </c>
    </row>
    <row r="59" spans="1:21" x14ac:dyDescent="0.35">
      <c r="A59" s="84" t="s">
        <v>34</v>
      </c>
      <c r="B59" s="88">
        <v>2022</v>
      </c>
      <c r="C59" s="88" t="s">
        <v>39</v>
      </c>
      <c r="D59" s="84">
        <v>171.4</v>
      </c>
      <c r="E59" s="84">
        <v>173.91666666666666</v>
      </c>
      <c r="F59" s="84">
        <v>176</v>
      </c>
      <c r="G59" s="84">
        <v>161.1</v>
      </c>
      <c r="H59" s="84">
        <v>166.8</v>
      </c>
      <c r="I59" s="84">
        <v>173.5</v>
      </c>
      <c r="J59" s="84">
        <v>175.4</v>
      </c>
      <c r="K59" s="84">
        <v>169</v>
      </c>
      <c r="N59" s="83">
        <f t="shared" si="8"/>
        <v>1.6919486581096876E-2</v>
      </c>
      <c r="O59" s="83">
        <f t="shared" si="9"/>
        <v>-3.3540967896501517E-3</v>
      </c>
      <c r="P59" s="83">
        <f t="shared" si="10"/>
        <v>2.0454545454545503E-2</v>
      </c>
      <c r="Q59" s="83">
        <f t="shared" si="11"/>
        <v>3.227808814401012E-2</v>
      </c>
      <c r="R59" s="83">
        <f t="shared" si="15"/>
        <v>5.9952038369304184E-3</v>
      </c>
      <c r="S59" s="83">
        <f t="shared" si="12"/>
        <v>4.4092219020172907E-2</v>
      </c>
      <c r="T59" s="83">
        <f t="shared" si="13"/>
        <v>1.9384264538198526E-2</v>
      </c>
      <c r="U59" s="83">
        <f t="shared" si="14"/>
        <v>3.3727810650887591E-2</v>
      </c>
    </row>
    <row r="60" spans="1:21" hidden="1" x14ac:dyDescent="0.35">
      <c r="A60" s="84" t="s">
        <v>30</v>
      </c>
      <c r="B60" s="80">
        <v>2022</v>
      </c>
      <c r="C60" s="80" t="s">
        <v>40</v>
      </c>
      <c r="D60" s="84">
        <v>174.3</v>
      </c>
      <c r="E60" s="84">
        <v>173.33333333333334</v>
      </c>
      <c r="F60" s="84">
        <v>179.6</v>
      </c>
      <c r="G60" s="84">
        <v>166.3</v>
      </c>
      <c r="H60" s="84">
        <v>167.8</v>
      </c>
      <c r="I60" s="84">
        <v>181.15</v>
      </c>
      <c r="J60" s="84">
        <v>178.8</v>
      </c>
      <c r="K60" s="84">
        <v>174.7</v>
      </c>
      <c r="N60" s="83">
        <f t="shared" si="8"/>
        <v>-5.1635111876076056E-3</v>
      </c>
      <c r="O60" s="83">
        <f t="shared" si="9"/>
        <v>1.548076923076902E-2</v>
      </c>
      <c r="P60" s="83">
        <f t="shared" si="10"/>
        <v>-5.5679287305121505E-4</v>
      </c>
      <c r="Q60" s="83">
        <f t="shared" si="11"/>
        <v>-5.3517739025856881E-2</v>
      </c>
      <c r="R60" s="83">
        <f t="shared" si="15"/>
        <v>0</v>
      </c>
      <c r="S60" s="83">
        <f t="shared" si="12"/>
        <v>-8.5288434998620044E-2</v>
      </c>
      <c r="T60" s="83">
        <f t="shared" si="13"/>
        <v>-3.9709172259507985E-2</v>
      </c>
      <c r="U60" s="83">
        <f t="shared" si="14"/>
        <v>-3.2054951345163119E-2</v>
      </c>
    </row>
    <row r="61" spans="1:21" hidden="1" x14ac:dyDescent="0.35">
      <c r="A61" s="84" t="s">
        <v>33</v>
      </c>
      <c r="B61" s="88">
        <v>2022</v>
      </c>
      <c r="C61" s="88" t="s">
        <v>40</v>
      </c>
      <c r="D61" s="84">
        <v>173.4</v>
      </c>
      <c r="E61" s="84">
        <v>176.01666666666665</v>
      </c>
      <c r="F61" s="84">
        <v>179.5</v>
      </c>
      <c r="G61" s="84">
        <v>157.4</v>
      </c>
      <c r="H61" s="84">
        <v>167.8</v>
      </c>
      <c r="I61" s="84">
        <v>165.7</v>
      </c>
      <c r="J61" s="84">
        <v>171.7</v>
      </c>
      <c r="K61" s="84">
        <v>169.1</v>
      </c>
      <c r="N61" s="83">
        <f t="shared" si="8"/>
        <v>-6.3437139561706157E-3</v>
      </c>
      <c r="O61" s="83">
        <f t="shared" si="9"/>
        <v>-9.8948963166365367E-3</v>
      </c>
      <c r="P61" s="83">
        <f t="shared" si="10"/>
        <v>5.5710306406675514E-4</v>
      </c>
      <c r="Q61" s="83">
        <f t="shared" si="11"/>
        <v>2.6683608640406531E-2</v>
      </c>
      <c r="R61" s="83">
        <f t="shared" si="15"/>
        <v>0</v>
      </c>
      <c r="S61" s="83">
        <f t="shared" si="12"/>
        <v>5.4918527459263844E-2</v>
      </c>
      <c r="T61" s="83">
        <f t="shared" si="13"/>
        <v>2.5626092020966773E-2</v>
      </c>
      <c r="U61" s="83">
        <f t="shared" si="14"/>
        <v>1.3601419278533422E-2</v>
      </c>
    </row>
    <row r="62" spans="1:21" x14ac:dyDescent="0.35">
      <c r="A62" s="84" t="s">
        <v>34</v>
      </c>
      <c r="B62" s="80">
        <v>2022</v>
      </c>
      <c r="C62" s="80" t="s">
        <v>40</v>
      </c>
      <c r="D62" s="84">
        <v>172.3</v>
      </c>
      <c r="E62" s="84">
        <v>174.27500000000001</v>
      </c>
      <c r="F62" s="84">
        <v>179.6</v>
      </c>
      <c r="G62" s="84">
        <v>161.6</v>
      </c>
      <c r="H62" s="84">
        <v>167.8</v>
      </c>
      <c r="I62" s="84">
        <v>174.8</v>
      </c>
      <c r="J62" s="84">
        <v>176.1</v>
      </c>
      <c r="K62" s="84">
        <v>171.4</v>
      </c>
      <c r="N62" s="83">
        <f t="shared" si="8"/>
        <v>-3.4242600116076605E-2</v>
      </c>
      <c r="O62" s="83">
        <f t="shared" si="9"/>
        <v>-4.4948118395258252E-3</v>
      </c>
      <c r="P62" s="83">
        <f t="shared" si="10"/>
        <v>-2.7839643652560753E-3</v>
      </c>
      <c r="Q62" s="83">
        <f t="shared" si="11"/>
        <v>3.0940594059405857E-2</v>
      </c>
      <c r="R62" s="83">
        <f t="shared" si="15"/>
        <v>7.151370679380209E-3</v>
      </c>
      <c r="S62" s="83">
        <f t="shared" si="12"/>
        <v>4.376430205949644E-2</v>
      </c>
      <c r="T62" s="83">
        <f t="shared" si="13"/>
        <v>1.873935264054527E-2</v>
      </c>
      <c r="U62" s="83">
        <f t="shared" si="14"/>
        <v>2.5087514585764303E-2</v>
      </c>
    </row>
    <row r="63" spans="1:21" hidden="1" x14ac:dyDescent="0.35">
      <c r="A63" s="84" t="s">
        <v>30</v>
      </c>
      <c r="B63" s="88">
        <v>2022</v>
      </c>
      <c r="C63" s="88" t="s">
        <v>41</v>
      </c>
      <c r="D63" s="84">
        <v>166.4</v>
      </c>
      <c r="E63" s="84">
        <v>173.49166666666665</v>
      </c>
      <c r="F63" s="84">
        <v>179.1</v>
      </c>
      <c r="G63" s="84">
        <v>166.6</v>
      </c>
      <c r="H63" s="84">
        <v>169</v>
      </c>
      <c r="I63" s="84">
        <v>182.45</v>
      </c>
      <c r="J63" s="84">
        <v>179.4</v>
      </c>
      <c r="K63" s="84">
        <v>175.7</v>
      </c>
      <c r="N63" s="83">
        <f t="shared" si="8"/>
        <v>-4.2067307692308376E-3</v>
      </c>
      <c r="O63" s="83">
        <f t="shared" si="9"/>
        <v>1.5082376675152442E-2</v>
      </c>
      <c r="P63" s="83">
        <f t="shared" si="10"/>
        <v>-3.9084310441093173E-3</v>
      </c>
      <c r="Q63" s="83">
        <f t="shared" si="11"/>
        <v>-5.3421368547418968E-2</v>
      </c>
      <c r="R63" s="83">
        <f t="shared" si="15"/>
        <v>0</v>
      </c>
      <c r="S63" s="83">
        <f t="shared" si="12"/>
        <v>-8.5502877500685082E-2</v>
      </c>
      <c r="T63" s="83">
        <f t="shared" si="13"/>
        <v>-3.7904124860646649E-2</v>
      </c>
      <c r="U63" s="83">
        <f t="shared" si="14"/>
        <v>-3.3010813887307866E-2</v>
      </c>
    </row>
    <row r="64" spans="1:21" hidden="1" x14ac:dyDescent="0.35">
      <c r="A64" s="84" t="s">
        <v>33</v>
      </c>
      <c r="B64" s="80">
        <v>2022</v>
      </c>
      <c r="C64" s="80" t="s">
        <v>41</v>
      </c>
      <c r="D64" s="84">
        <v>165.7</v>
      </c>
      <c r="E64" s="84">
        <v>176.10833333333332</v>
      </c>
      <c r="F64" s="84">
        <v>178.4</v>
      </c>
      <c r="G64" s="84">
        <v>157.69999999999999</v>
      </c>
      <c r="H64" s="84">
        <v>169</v>
      </c>
      <c r="I64" s="84">
        <v>166.85</v>
      </c>
      <c r="J64" s="84">
        <v>172.6</v>
      </c>
      <c r="K64" s="84">
        <v>169.9</v>
      </c>
      <c r="N64" s="83">
        <f t="shared" si="8"/>
        <v>-4.2245021122510051E-3</v>
      </c>
      <c r="O64" s="83">
        <f t="shared" si="9"/>
        <v>-9.6531491032980643E-3</v>
      </c>
      <c r="P64" s="83">
        <f t="shared" si="10"/>
        <v>2.2421524663678305E-3</v>
      </c>
      <c r="Q64" s="83">
        <f t="shared" si="11"/>
        <v>2.6632847178186481E-2</v>
      </c>
      <c r="R64" s="83">
        <f t="shared" si="15"/>
        <v>0</v>
      </c>
      <c r="S64" s="83">
        <f t="shared" si="12"/>
        <v>5.5439017081210684E-2</v>
      </c>
      <c r="T64" s="83">
        <f t="shared" si="13"/>
        <v>2.4333719582850577E-2</v>
      </c>
      <c r="U64" s="83">
        <f t="shared" si="14"/>
        <v>1.4125956444967613E-2</v>
      </c>
    </row>
    <row r="65" spans="1:21" x14ac:dyDescent="0.35">
      <c r="A65" s="84" t="s">
        <v>34</v>
      </c>
      <c r="B65" s="88">
        <v>2022</v>
      </c>
      <c r="C65" s="88" t="s">
        <v>41</v>
      </c>
      <c r="D65" s="84">
        <v>165</v>
      </c>
      <c r="E65" s="84">
        <v>174.40833333333333</v>
      </c>
      <c r="F65" s="84">
        <v>178.8</v>
      </c>
      <c r="G65" s="84">
        <v>161.9</v>
      </c>
      <c r="H65" s="84">
        <v>169</v>
      </c>
      <c r="I65" s="84">
        <v>176.1</v>
      </c>
      <c r="J65" s="84">
        <v>176.8</v>
      </c>
      <c r="K65" s="84">
        <v>172.3</v>
      </c>
      <c r="N65" s="83">
        <f t="shared" si="8"/>
        <v>1.0303030303030258E-2</v>
      </c>
      <c r="O65" s="83">
        <f t="shared" si="9"/>
        <v>-2.8668354914218597E-4</v>
      </c>
      <c r="P65" s="83">
        <f t="shared" si="10"/>
        <v>5.0335570469797197E-3</v>
      </c>
      <c r="Q65" s="83">
        <f t="shared" si="11"/>
        <v>3.0883261272390383E-2</v>
      </c>
      <c r="R65" s="83">
        <f t="shared" si="15"/>
        <v>2.9585798816567088E-3</v>
      </c>
      <c r="S65" s="83">
        <f t="shared" si="12"/>
        <v>4.4860874503123149E-2</v>
      </c>
      <c r="T65" s="83">
        <f t="shared" si="13"/>
        <v>1.9230769230769162E-2</v>
      </c>
      <c r="U65" s="83">
        <f t="shared" si="14"/>
        <v>2.2634939059779313E-2</v>
      </c>
    </row>
    <row r="66" spans="1:21" hidden="1" x14ac:dyDescent="0.35">
      <c r="A66" s="84" t="s">
        <v>30</v>
      </c>
      <c r="B66" s="80">
        <v>2022</v>
      </c>
      <c r="C66" s="80" t="s">
        <v>42</v>
      </c>
      <c r="D66" s="84">
        <v>166.7</v>
      </c>
      <c r="E66" s="84">
        <v>174.35833333333335</v>
      </c>
      <c r="F66" s="84">
        <v>179.7</v>
      </c>
      <c r="G66" s="84">
        <v>166.9</v>
      </c>
      <c r="H66" s="84">
        <v>169.5</v>
      </c>
      <c r="I66" s="84">
        <v>184</v>
      </c>
      <c r="J66" s="84">
        <v>180.2</v>
      </c>
      <c r="K66" s="84">
        <v>176.2</v>
      </c>
      <c r="N66" s="83">
        <f t="shared" si="8"/>
        <v>-3.5992801439711508E-3</v>
      </c>
      <c r="O66" s="83">
        <f t="shared" si="9"/>
        <v>1.5437556755723225E-2</v>
      </c>
      <c r="P66" s="83">
        <f t="shared" si="10"/>
        <v>-2.7824151363383676E-3</v>
      </c>
      <c r="Q66" s="83">
        <f t="shared" si="11"/>
        <v>-5.2127022168963588E-2</v>
      </c>
      <c r="R66" s="83">
        <f t="shared" si="15"/>
        <v>0</v>
      </c>
      <c r="S66" s="83">
        <f t="shared" si="12"/>
        <v>-8.5054347826087007E-2</v>
      </c>
      <c r="T66" s="83">
        <f t="shared" si="13"/>
        <v>-3.5516093229744583E-2</v>
      </c>
      <c r="U66" s="83">
        <f t="shared" si="14"/>
        <v>-3.0079455164585656E-2</v>
      </c>
    </row>
    <row r="67" spans="1:21" hidden="1" x14ac:dyDescent="0.35">
      <c r="A67" s="84" t="s">
        <v>33</v>
      </c>
      <c r="B67" s="88">
        <v>2022</v>
      </c>
      <c r="C67" s="88" t="s">
        <v>42</v>
      </c>
      <c r="D67" s="84">
        <v>166.1</v>
      </c>
      <c r="E67" s="84">
        <v>177.04999999999998</v>
      </c>
      <c r="F67" s="84">
        <v>179.2</v>
      </c>
      <c r="G67" s="84">
        <v>158.19999999999999</v>
      </c>
      <c r="H67" s="84">
        <v>169.5</v>
      </c>
      <c r="I67" s="84">
        <v>168.35</v>
      </c>
      <c r="J67" s="84">
        <v>173.8</v>
      </c>
      <c r="K67" s="84">
        <v>170.9</v>
      </c>
      <c r="N67" s="83">
        <f t="shared" si="8"/>
        <v>-3.6122817579771205E-3</v>
      </c>
      <c r="O67" s="83">
        <f t="shared" si="9"/>
        <v>-1.0119551915654612E-2</v>
      </c>
      <c r="P67" s="83">
        <f t="shared" si="10"/>
        <v>1.6741071428572063E-3</v>
      </c>
      <c r="Q67" s="83">
        <f t="shared" si="11"/>
        <v>2.5916561314791586E-2</v>
      </c>
      <c r="R67" s="83">
        <f t="shared" si="15"/>
        <v>0</v>
      </c>
      <c r="S67" s="83">
        <f t="shared" si="12"/>
        <v>5.4945054945055194E-2</v>
      </c>
      <c r="T67" s="83">
        <f t="shared" si="13"/>
        <v>2.3014959723820505E-2</v>
      </c>
      <c r="U67" s="83">
        <f t="shared" si="14"/>
        <v>1.2873025160912821E-2</v>
      </c>
    </row>
    <row r="68" spans="1:21" x14ac:dyDescent="0.35">
      <c r="A68" s="84" t="s">
        <v>34</v>
      </c>
      <c r="B68" s="80">
        <v>2022</v>
      </c>
      <c r="C68" s="80" t="s">
        <v>42</v>
      </c>
      <c r="D68" s="84">
        <v>165.5</v>
      </c>
      <c r="E68" s="84">
        <v>175.25833333333333</v>
      </c>
      <c r="F68" s="84">
        <v>179.5</v>
      </c>
      <c r="G68" s="84">
        <v>162.30000000000001</v>
      </c>
      <c r="H68" s="84">
        <v>169.5</v>
      </c>
      <c r="I68" s="84">
        <v>177.60000000000002</v>
      </c>
      <c r="J68" s="84">
        <v>177.8</v>
      </c>
      <c r="K68" s="84">
        <v>173.1</v>
      </c>
      <c r="N68" s="83">
        <f t="shared" si="8"/>
        <v>7.0090634441087651E-2</v>
      </c>
      <c r="O68" s="83">
        <f t="shared" si="9"/>
        <v>1.9019542580001048E-3</v>
      </c>
      <c r="P68" s="83">
        <f t="shared" si="10"/>
        <v>7.2423398328691491E-3</v>
      </c>
      <c r="Q68" s="83">
        <f t="shared" si="11"/>
        <v>3.1423290203327126E-2</v>
      </c>
      <c r="R68" s="83">
        <f t="shared" si="15"/>
        <v>1.0029498525073732E-2</v>
      </c>
      <c r="S68" s="83">
        <f t="shared" si="12"/>
        <v>4.307432432432412E-2</v>
      </c>
      <c r="T68" s="83">
        <f t="shared" si="13"/>
        <v>1.9122609673790647E-2</v>
      </c>
      <c r="U68" s="83">
        <f t="shared" si="14"/>
        <v>1.9641825534373325E-2</v>
      </c>
    </row>
    <row r="69" spans="1:21" hidden="1" x14ac:dyDescent="0.35">
      <c r="A69" s="84" t="s">
        <v>30</v>
      </c>
      <c r="B69" s="88">
        <v>2022</v>
      </c>
      <c r="C69" s="88" t="s">
        <v>43</v>
      </c>
      <c r="D69" s="84">
        <v>177.1</v>
      </c>
      <c r="E69" s="84">
        <v>175.59166666666667</v>
      </c>
      <c r="F69" s="84">
        <v>180.8</v>
      </c>
      <c r="G69" s="84">
        <v>167.4</v>
      </c>
      <c r="H69" s="84">
        <v>171.2</v>
      </c>
      <c r="I69" s="84">
        <v>185.25</v>
      </c>
      <c r="J69" s="84">
        <v>181.2</v>
      </c>
      <c r="K69" s="84">
        <v>176.5</v>
      </c>
      <c r="N69" s="83">
        <f t="shared" ref="N69:N92" si="16">(D70/D69)-1</f>
        <v>-7.905138339921014E-3</v>
      </c>
      <c r="O69" s="83">
        <f t="shared" ref="O69:O92" si="17">(E70/E69)-1</f>
        <v>1.513929096862987E-2</v>
      </c>
      <c r="P69" s="83">
        <f t="shared" ref="P69:P92" si="18">(F70/F69)-1</f>
        <v>-4.4247787610620648E-3</v>
      </c>
      <c r="Q69" s="83">
        <f t="shared" ref="Q69:Q92" si="19">(G70/G69)-1</f>
        <v>-5.1373954599761018E-2</v>
      </c>
      <c r="R69" s="83">
        <f t="shared" si="15"/>
        <v>0</v>
      </c>
      <c r="S69" s="83">
        <f t="shared" ref="S69:S92" si="20">(I70/I69)-1</f>
        <v>-8.7449392712550589E-2</v>
      </c>
      <c r="T69" s="83">
        <f t="shared" ref="T69:T92" si="21">(J70/J69)-1</f>
        <v>-3.5871964679911716E-2</v>
      </c>
      <c r="U69" s="83">
        <f t="shared" ref="U69:U92" si="22">(K70/K69)-1</f>
        <v>-3.0028328611898081E-2</v>
      </c>
    </row>
    <row r="70" spans="1:21" hidden="1" x14ac:dyDescent="0.35">
      <c r="A70" s="84" t="s">
        <v>33</v>
      </c>
      <c r="B70" s="80">
        <v>2022</v>
      </c>
      <c r="C70" s="80" t="s">
        <v>43</v>
      </c>
      <c r="D70" s="84">
        <v>175.7</v>
      </c>
      <c r="E70" s="84">
        <v>178.25</v>
      </c>
      <c r="F70" s="84">
        <v>180</v>
      </c>
      <c r="G70" s="84">
        <v>158.80000000000001</v>
      </c>
      <c r="H70" s="84">
        <v>171.2</v>
      </c>
      <c r="I70" s="84">
        <v>169.05</v>
      </c>
      <c r="J70" s="84">
        <v>174.7</v>
      </c>
      <c r="K70" s="84">
        <v>171.2</v>
      </c>
      <c r="N70" s="83">
        <f t="shared" si="16"/>
        <v>-9.1064314171883654E-3</v>
      </c>
      <c r="O70" s="83">
        <f t="shared" si="17"/>
        <v>-9.957924263674478E-3</v>
      </c>
      <c r="P70" s="83">
        <f t="shared" si="18"/>
        <v>2.7777777777777679E-3</v>
      </c>
      <c r="Q70" s="83">
        <f t="shared" si="19"/>
        <v>2.581863979848853E-2</v>
      </c>
      <c r="R70" s="83">
        <f t="shared" ref="R70:R92" si="23">(H71/H70)-1</f>
        <v>0</v>
      </c>
      <c r="S70" s="83">
        <f t="shared" si="20"/>
        <v>5.6492162082224295E-2</v>
      </c>
      <c r="T70" s="83">
        <f t="shared" si="21"/>
        <v>2.2896393817973593E-2</v>
      </c>
      <c r="U70" s="83">
        <f t="shared" si="22"/>
        <v>1.2850467289719836E-2</v>
      </c>
    </row>
    <row r="71" spans="1:21" x14ac:dyDescent="0.35">
      <c r="A71" s="84" t="s">
        <v>34</v>
      </c>
      <c r="B71" s="88">
        <v>2022</v>
      </c>
      <c r="C71" s="88" t="s">
        <v>43</v>
      </c>
      <c r="D71" s="84">
        <v>174.1</v>
      </c>
      <c r="E71" s="84">
        <v>176.47500000000002</v>
      </c>
      <c r="F71" s="84">
        <v>180.5</v>
      </c>
      <c r="G71" s="84">
        <v>162.9</v>
      </c>
      <c r="H71" s="84">
        <v>171.2</v>
      </c>
      <c r="I71" s="84">
        <v>178.60000000000002</v>
      </c>
      <c r="J71" s="84">
        <v>178.7</v>
      </c>
      <c r="K71" s="84">
        <v>173.4</v>
      </c>
      <c r="N71" s="83">
        <f t="shared" si="16"/>
        <v>6.8925904652499259E-3</v>
      </c>
      <c r="O71" s="83">
        <f t="shared" si="17"/>
        <v>-3.1165887519480906E-3</v>
      </c>
      <c r="P71" s="83">
        <f t="shared" si="18"/>
        <v>7.7562326869806686E-3</v>
      </c>
      <c r="Q71" s="83">
        <f t="shared" si="19"/>
        <v>2.8238182934315459E-2</v>
      </c>
      <c r="R71" s="83">
        <f t="shared" si="23"/>
        <v>3.5046728971963592E-3</v>
      </c>
      <c r="S71" s="83">
        <f t="shared" si="20"/>
        <v>4.2553191489361541E-2</v>
      </c>
      <c r="T71" s="83">
        <f t="shared" si="21"/>
        <v>2.0145495243424794E-2</v>
      </c>
      <c r="U71" s="83">
        <f t="shared" si="22"/>
        <v>2.0184544405997595E-2</v>
      </c>
    </row>
    <row r="72" spans="1:21" hidden="1" x14ac:dyDescent="0.35">
      <c r="A72" s="84" t="s">
        <v>30</v>
      </c>
      <c r="B72" s="80">
        <v>2022</v>
      </c>
      <c r="C72" s="80" t="s">
        <v>45</v>
      </c>
      <c r="D72" s="84">
        <v>175.3</v>
      </c>
      <c r="E72" s="84">
        <v>175.92499999999998</v>
      </c>
      <c r="F72" s="84">
        <v>181.9</v>
      </c>
      <c r="G72" s="84">
        <v>167.5</v>
      </c>
      <c r="H72" s="84">
        <v>171.8</v>
      </c>
      <c r="I72" s="84">
        <v>186.2</v>
      </c>
      <c r="J72" s="84">
        <v>182.3</v>
      </c>
      <c r="K72" s="84">
        <v>176.9</v>
      </c>
      <c r="N72" s="83">
        <f t="shared" si="16"/>
        <v>-5.7045065601825096E-3</v>
      </c>
      <c r="O72" s="83">
        <f t="shared" si="17"/>
        <v>1.0421107479513081E-2</v>
      </c>
      <c r="P72" s="83">
        <f t="shared" si="18"/>
        <v>-8.796041781198416E-3</v>
      </c>
      <c r="Q72" s="83">
        <f t="shared" si="19"/>
        <v>-5.1343283582089505E-2</v>
      </c>
      <c r="R72" s="83">
        <f t="shared" si="23"/>
        <v>0</v>
      </c>
      <c r="S72" s="83">
        <f t="shared" si="20"/>
        <v>-8.6466165413533802E-2</v>
      </c>
      <c r="T72" s="83">
        <f t="shared" si="21"/>
        <v>-3.5655512890839236E-2</v>
      </c>
      <c r="U72" s="83">
        <f t="shared" si="22"/>
        <v>-3.0525720746184315E-2</v>
      </c>
    </row>
    <row r="73" spans="1:21" hidden="1" x14ac:dyDescent="0.35">
      <c r="A73" s="84" t="s">
        <v>33</v>
      </c>
      <c r="B73" s="88">
        <v>2022</v>
      </c>
      <c r="C73" s="88" t="s">
        <v>45</v>
      </c>
      <c r="D73" s="84">
        <v>174.3</v>
      </c>
      <c r="E73" s="84">
        <v>177.75833333333333</v>
      </c>
      <c r="F73" s="84">
        <v>180.3</v>
      </c>
      <c r="G73" s="84">
        <v>158.9</v>
      </c>
      <c r="H73" s="84">
        <v>171.8</v>
      </c>
      <c r="I73" s="84">
        <v>170.1</v>
      </c>
      <c r="J73" s="84">
        <v>175.8</v>
      </c>
      <c r="K73" s="84">
        <v>171.5</v>
      </c>
      <c r="N73" s="83">
        <f t="shared" si="16"/>
        <v>-6.8846815834768815E-3</v>
      </c>
      <c r="O73" s="83">
        <f t="shared" si="17"/>
        <v>-6.8444986170362876E-3</v>
      </c>
      <c r="P73" s="83">
        <f t="shared" si="18"/>
        <v>5.5463117027176878E-3</v>
      </c>
      <c r="Q73" s="83">
        <f t="shared" si="19"/>
        <v>2.5802391441158035E-2</v>
      </c>
      <c r="R73" s="83">
        <f t="shared" si="23"/>
        <v>0</v>
      </c>
      <c r="S73" s="83">
        <f t="shared" si="20"/>
        <v>5.6143445032333927E-2</v>
      </c>
      <c r="T73" s="83">
        <f t="shared" si="21"/>
        <v>2.2753128555176305E-2</v>
      </c>
      <c r="U73" s="83">
        <f t="shared" si="22"/>
        <v>1.282798833819232E-2</v>
      </c>
    </row>
    <row r="74" spans="1:21" x14ac:dyDescent="0.35">
      <c r="A74" s="84" t="s">
        <v>34</v>
      </c>
      <c r="B74" s="80">
        <v>2022</v>
      </c>
      <c r="C74" s="80" t="s">
        <v>45</v>
      </c>
      <c r="D74" s="84">
        <v>173.1</v>
      </c>
      <c r="E74" s="84">
        <v>176.54166666666666</v>
      </c>
      <c r="F74" s="84">
        <v>181.3</v>
      </c>
      <c r="G74" s="84">
        <v>163</v>
      </c>
      <c r="H74" s="84">
        <v>171.8</v>
      </c>
      <c r="I74" s="84">
        <v>179.64999999999998</v>
      </c>
      <c r="J74" s="84">
        <v>179.8</v>
      </c>
      <c r="K74" s="84">
        <v>173.7</v>
      </c>
      <c r="N74" s="83">
        <f t="shared" si="16"/>
        <v>-1.328711727325238E-2</v>
      </c>
      <c r="O74" s="83">
        <f t="shared" si="17"/>
        <v>-7.4581071512862529E-3</v>
      </c>
      <c r="P74" s="83">
        <f t="shared" si="18"/>
        <v>8.2735797021511459E-3</v>
      </c>
      <c r="Q74" s="83">
        <f t="shared" si="19"/>
        <v>2.9447852760736248E-2</v>
      </c>
      <c r="R74" s="83">
        <f t="shared" si="23"/>
        <v>-6.4027939464494921E-3</v>
      </c>
      <c r="S74" s="83">
        <f t="shared" si="20"/>
        <v>4.0912886167548068E-2</v>
      </c>
      <c r="T74" s="83">
        <f t="shared" si="21"/>
        <v>2.0578420467185721E-2</v>
      </c>
      <c r="U74" s="83">
        <f t="shared" si="22"/>
        <v>2.0725388601036343E-2</v>
      </c>
    </row>
    <row r="75" spans="1:21" hidden="1" x14ac:dyDescent="0.35">
      <c r="A75" s="84" t="s">
        <v>30</v>
      </c>
      <c r="B75" s="88">
        <v>2022</v>
      </c>
      <c r="C75" s="88" t="s">
        <v>46</v>
      </c>
      <c r="D75" s="84">
        <v>170.8</v>
      </c>
      <c r="E75" s="84">
        <v>175.22499999999999</v>
      </c>
      <c r="F75" s="84">
        <v>182.8</v>
      </c>
      <c r="G75" s="84">
        <v>167.8</v>
      </c>
      <c r="H75" s="84">
        <v>170.7</v>
      </c>
      <c r="I75" s="84">
        <v>187</v>
      </c>
      <c r="J75" s="84">
        <v>183.5</v>
      </c>
      <c r="K75" s="84">
        <v>177.3</v>
      </c>
      <c r="N75" s="83">
        <f t="shared" si="16"/>
        <v>-4.098360655737765E-3</v>
      </c>
      <c r="O75" s="83">
        <f t="shared" si="17"/>
        <v>6.8958957530793619E-3</v>
      </c>
      <c r="P75" s="83">
        <f t="shared" si="18"/>
        <v>-1.2035010940919078E-2</v>
      </c>
      <c r="Q75" s="83">
        <f t="shared" si="19"/>
        <v>-5.0059594755661574E-2</v>
      </c>
      <c r="R75" s="83">
        <f t="shared" si="23"/>
        <v>0</v>
      </c>
      <c r="S75" s="83">
        <f t="shared" si="20"/>
        <v>-8.502673796791449E-2</v>
      </c>
      <c r="T75" s="83">
        <f t="shared" si="21"/>
        <v>-3.4332425068119954E-2</v>
      </c>
      <c r="U75" s="83">
        <f t="shared" si="22"/>
        <v>-3.1020868584320405E-2</v>
      </c>
    </row>
    <row r="76" spans="1:21" hidden="1" x14ac:dyDescent="0.35">
      <c r="A76" s="84" t="s">
        <v>33</v>
      </c>
      <c r="B76" s="80">
        <v>2022</v>
      </c>
      <c r="C76" s="80" t="s">
        <v>46</v>
      </c>
      <c r="D76" s="84">
        <v>170.1</v>
      </c>
      <c r="E76" s="84">
        <v>176.43333333333331</v>
      </c>
      <c r="F76" s="84">
        <v>180.6</v>
      </c>
      <c r="G76" s="84">
        <v>159.4</v>
      </c>
      <c r="H76" s="84">
        <v>170.7</v>
      </c>
      <c r="I76" s="84">
        <v>171.1</v>
      </c>
      <c r="J76" s="84">
        <v>177.2</v>
      </c>
      <c r="K76" s="84">
        <v>171.8</v>
      </c>
      <c r="N76" s="83">
        <f t="shared" si="16"/>
        <v>-5.2910052910053462E-3</v>
      </c>
      <c r="O76" s="83">
        <f t="shared" si="17"/>
        <v>-4.5815227659170565E-3</v>
      </c>
      <c r="P76" s="83">
        <f t="shared" si="18"/>
        <v>7.7519379844961378E-3</v>
      </c>
      <c r="Q76" s="83">
        <f t="shared" si="19"/>
        <v>2.5094102885821812E-2</v>
      </c>
      <c r="R76" s="83">
        <f t="shared" si="23"/>
        <v>0</v>
      </c>
      <c r="S76" s="83">
        <f t="shared" si="20"/>
        <v>5.4938632378725982E-2</v>
      </c>
      <c r="T76" s="83">
        <f t="shared" si="21"/>
        <v>2.2009029345372522E-2</v>
      </c>
      <c r="U76" s="83">
        <f t="shared" si="22"/>
        <v>1.3387660069848595E-2</v>
      </c>
    </row>
    <row r="77" spans="1:21" x14ac:dyDescent="0.35">
      <c r="A77" s="84" t="s">
        <v>34</v>
      </c>
      <c r="B77" s="88">
        <v>2022</v>
      </c>
      <c r="C77" s="88" t="s">
        <v>46</v>
      </c>
      <c r="D77" s="84">
        <v>169.2</v>
      </c>
      <c r="E77" s="84">
        <v>175.625</v>
      </c>
      <c r="F77" s="84">
        <v>182</v>
      </c>
      <c r="G77" s="84">
        <v>163.4</v>
      </c>
      <c r="H77" s="84">
        <v>170.7</v>
      </c>
      <c r="I77" s="84">
        <v>180.5</v>
      </c>
      <c r="J77" s="84">
        <v>181.1</v>
      </c>
      <c r="K77" s="84">
        <v>174.1</v>
      </c>
      <c r="N77" s="83">
        <f t="shared" si="16"/>
        <v>6.2647754137115985E-2</v>
      </c>
      <c r="O77" s="83">
        <f t="shared" si="17"/>
        <v>3.3214709371320872E-4</v>
      </c>
      <c r="P77" s="83">
        <f t="shared" si="18"/>
        <v>6.59340659340657E-3</v>
      </c>
      <c r="Q77" s="83">
        <f t="shared" si="19"/>
        <v>2.9375764993879949E-2</v>
      </c>
      <c r="R77" s="83">
        <f t="shared" si="23"/>
        <v>8.2015231400116573E-3</v>
      </c>
      <c r="S77" s="83">
        <f t="shared" si="20"/>
        <v>3.9612188365651058E-2</v>
      </c>
      <c r="T77" s="83">
        <f t="shared" si="21"/>
        <v>1.9878520154610779E-2</v>
      </c>
      <c r="U77" s="83">
        <f t="shared" si="22"/>
        <v>2.1252153934520512E-2</v>
      </c>
    </row>
    <row r="78" spans="1:21" hidden="1" x14ac:dyDescent="0.35">
      <c r="A78" s="84" t="s">
        <v>30</v>
      </c>
      <c r="B78" s="80">
        <v>2023</v>
      </c>
      <c r="C78" s="80" t="s">
        <v>31</v>
      </c>
      <c r="D78" s="84">
        <v>179.8</v>
      </c>
      <c r="E78" s="84">
        <v>175.68333333333337</v>
      </c>
      <c r="F78" s="84">
        <v>183.2</v>
      </c>
      <c r="G78" s="84">
        <v>168.2</v>
      </c>
      <c r="H78" s="84">
        <v>172.1</v>
      </c>
      <c r="I78" s="84">
        <v>187.65</v>
      </c>
      <c r="J78" s="84">
        <v>184.7</v>
      </c>
      <c r="K78" s="84">
        <v>177.8</v>
      </c>
      <c r="N78" s="83">
        <f t="shared" si="16"/>
        <v>-3.8932146829812053E-3</v>
      </c>
      <c r="O78" s="83">
        <f t="shared" si="17"/>
        <v>1.0672611706669111E-2</v>
      </c>
      <c r="P78" s="83">
        <f t="shared" si="18"/>
        <v>-1.6921397379912606E-2</v>
      </c>
      <c r="Q78" s="83">
        <f t="shared" si="19"/>
        <v>-5.1724137931034364E-2</v>
      </c>
      <c r="R78" s="83">
        <f t="shared" si="23"/>
        <v>0</v>
      </c>
      <c r="S78" s="83">
        <f t="shared" si="20"/>
        <v>-8.3399946709299289E-2</v>
      </c>
      <c r="T78" s="83">
        <f t="shared" si="21"/>
        <v>-3.3567948023822347E-2</v>
      </c>
      <c r="U78" s="83">
        <f t="shared" si="22"/>
        <v>-3.3745781777277828E-2</v>
      </c>
    </row>
    <row r="79" spans="1:21" hidden="1" x14ac:dyDescent="0.35">
      <c r="A79" s="84" t="s">
        <v>33</v>
      </c>
      <c r="B79" s="88">
        <v>2023</v>
      </c>
      <c r="C79" s="88" t="s">
        <v>31</v>
      </c>
      <c r="D79" s="84">
        <v>179.1</v>
      </c>
      <c r="E79" s="84">
        <v>177.55833333333337</v>
      </c>
      <c r="F79" s="84">
        <v>180.1</v>
      </c>
      <c r="G79" s="84">
        <v>159.5</v>
      </c>
      <c r="H79" s="84">
        <v>172.1</v>
      </c>
      <c r="I79" s="84">
        <v>172</v>
      </c>
      <c r="J79" s="84">
        <v>178.5</v>
      </c>
      <c r="K79" s="84">
        <v>171.8</v>
      </c>
      <c r="N79" s="83">
        <f t="shared" si="16"/>
        <v>-5.0251256281407253E-3</v>
      </c>
      <c r="O79" s="83">
        <f t="shared" si="17"/>
        <v>-6.8991411273291448E-3</v>
      </c>
      <c r="P79" s="83">
        <f t="shared" si="18"/>
        <v>1.0549694614103267E-2</v>
      </c>
      <c r="Q79" s="83">
        <f t="shared" si="19"/>
        <v>2.5705329153604906E-2</v>
      </c>
      <c r="R79" s="83">
        <f t="shared" si="23"/>
        <v>0</v>
      </c>
      <c r="S79" s="83">
        <f t="shared" si="20"/>
        <v>5.3779069767441845E-2</v>
      </c>
      <c r="T79" s="83">
        <f t="shared" si="21"/>
        <v>2.1288515406162611E-2</v>
      </c>
      <c r="U79" s="83">
        <f t="shared" si="22"/>
        <v>1.4551804423748482E-2</v>
      </c>
    </row>
    <row r="80" spans="1:21" x14ac:dyDescent="0.35">
      <c r="A80" s="84" t="s">
        <v>34</v>
      </c>
      <c r="B80" s="80">
        <v>2023</v>
      </c>
      <c r="C80" s="80" t="s">
        <v>31</v>
      </c>
      <c r="D80" s="84">
        <v>178.2</v>
      </c>
      <c r="E80" s="84">
        <v>176.33333333333334</v>
      </c>
      <c r="F80" s="84">
        <v>182</v>
      </c>
      <c r="G80" s="84">
        <v>163.6</v>
      </c>
      <c r="H80" s="84">
        <v>172.1</v>
      </c>
      <c r="I80" s="84">
        <v>181.25</v>
      </c>
      <c r="J80" s="84">
        <v>182.3</v>
      </c>
      <c r="K80" s="84">
        <v>174.3</v>
      </c>
      <c r="N80" s="83">
        <f t="shared" si="16"/>
        <v>-1.1223344556676729E-3</v>
      </c>
      <c r="O80" s="83">
        <f t="shared" si="17"/>
        <v>-1.1862003780718555E-2</v>
      </c>
      <c r="P80" s="83">
        <f t="shared" si="18"/>
        <v>-2.19780219780219E-3</v>
      </c>
      <c r="Q80" s="83">
        <f t="shared" si="19"/>
        <v>3.3007334963325308E-2</v>
      </c>
      <c r="R80" s="83">
        <f t="shared" si="23"/>
        <v>8.1348053457293013E-3</v>
      </c>
      <c r="S80" s="83">
        <f t="shared" si="20"/>
        <v>4.0000000000000036E-2</v>
      </c>
      <c r="T80" s="83">
        <f t="shared" si="21"/>
        <v>2.3587493143170546E-2</v>
      </c>
      <c r="U80" s="83">
        <f t="shared" si="22"/>
        <v>2.409638554216853E-2</v>
      </c>
    </row>
    <row r="81" spans="1:21" hidden="1" x14ac:dyDescent="0.35">
      <c r="A81" s="84" t="s">
        <v>30</v>
      </c>
      <c r="B81" s="88">
        <v>2023</v>
      </c>
      <c r="C81" s="88" t="s">
        <v>35</v>
      </c>
      <c r="D81" s="84">
        <v>178</v>
      </c>
      <c r="E81" s="84">
        <v>174.24166666666665</v>
      </c>
      <c r="F81" s="84">
        <v>181.6</v>
      </c>
      <c r="G81" s="84">
        <v>169</v>
      </c>
      <c r="H81" s="84">
        <v>173.5</v>
      </c>
      <c r="I81" s="84">
        <v>188.5</v>
      </c>
      <c r="J81" s="84">
        <v>186.6</v>
      </c>
      <c r="K81" s="84">
        <v>178.5</v>
      </c>
      <c r="N81" s="83">
        <f t="shared" si="16"/>
        <v>-4.4943820224719877E-3</v>
      </c>
      <c r="O81" s="83">
        <f t="shared" si="17"/>
        <v>1.5113109187431473E-2</v>
      </c>
      <c r="P81" s="83">
        <f t="shared" si="18"/>
        <v>6.6079295154186646E-3</v>
      </c>
      <c r="Q81" s="83">
        <f t="shared" si="19"/>
        <v>-5.4437869822485108E-2</v>
      </c>
      <c r="R81" s="83">
        <f t="shared" si="23"/>
        <v>0</v>
      </c>
      <c r="S81" s="83">
        <f t="shared" si="20"/>
        <v>-7.8779840848806293E-2</v>
      </c>
      <c r="T81" s="83">
        <f t="shared" si="21"/>
        <v>-3.1082529474812381E-2</v>
      </c>
      <c r="U81" s="83">
        <f t="shared" si="22"/>
        <v>-3.3613445378151252E-2</v>
      </c>
    </row>
    <row r="82" spans="1:21" hidden="1" x14ac:dyDescent="0.35">
      <c r="A82" s="84" t="s">
        <v>33</v>
      </c>
      <c r="B82" s="80">
        <v>2023</v>
      </c>
      <c r="C82" s="80" t="s">
        <v>35</v>
      </c>
      <c r="D82" s="84">
        <v>177.2</v>
      </c>
      <c r="E82" s="84">
        <v>176.875</v>
      </c>
      <c r="F82" s="84">
        <v>182.8</v>
      </c>
      <c r="G82" s="84">
        <v>159.80000000000001</v>
      </c>
      <c r="H82" s="84">
        <v>173.5</v>
      </c>
      <c r="I82" s="84">
        <v>173.65</v>
      </c>
      <c r="J82" s="84">
        <v>180.8</v>
      </c>
      <c r="K82" s="84">
        <v>172.5</v>
      </c>
      <c r="N82" s="83">
        <f t="shared" si="16"/>
        <v>-5.0790067720088983E-3</v>
      </c>
      <c r="O82" s="83">
        <f t="shared" si="17"/>
        <v>-9.6113074204947635E-3</v>
      </c>
      <c r="P82" s="83">
        <f t="shared" si="18"/>
        <v>-3.8293216630197469E-3</v>
      </c>
      <c r="Q82" s="83">
        <f t="shared" si="19"/>
        <v>2.7534418022528095E-2</v>
      </c>
      <c r="R82" s="83">
        <f t="shared" si="23"/>
        <v>0</v>
      </c>
      <c r="S82" s="83">
        <f t="shared" si="20"/>
        <v>5.0676648430751481E-2</v>
      </c>
      <c r="T82" s="83">
        <f t="shared" si="21"/>
        <v>1.9911504424778625E-2</v>
      </c>
      <c r="U82" s="83">
        <f t="shared" si="22"/>
        <v>1.449275362318847E-2</v>
      </c>
    </row>
    <row r="83" spans="1:21" x14ac:dyDescent="0.35">
      <c r="A83" s="84" t="s">
        <v>34</v>
      </c>
      <c r="B83" s="88">
        <v>2023</v>
      </c>
      <c r="C83" s="88" t="s">
        <v>35</v>
      </c>
      <c r="D83" s="84">
        <v>176.3</v>
      </c>
      <c r="E83" s="84">
        <v>175.17499999999998</v>
      </c>
      <c r="F83" s="84">
        <v>182.1</v>
      </c>
      <c r="G83" s="84">
        <v>164.2</v>
      </c>
      <c r="H83" s="84">
        <v>173.5</v>
      </c>
      <c r="I83" s="84">
        <v>182.45</v>
      </c>
      <c r="J83" s="84">
        <v>184.4</v>
      </c>
      <c r="K83" s="84">
        <v>175</v>
      </c>
      <c r="N83" s="83">
        <f t="shared" si="16"/>
        <v>-7.9410096426546506E-3</v>
      </c>
      <c r="O83" s="83">
        <f t="shared" si="17"/>
        <v>-5.2804338518622762E-3</v>
      </c>
      <c r="P83" s="83">
        <f t="shared" si="18"/>
        <v>-3.8440417353101664E-3</v>
      </c>
      <c r="Q83" s="83">
        <f t="shared" si="19"/>
        <v>2.923264311814866E-2</v>
      </c>
      <c r="R83" s="83">
        <f t="shared" si="23"/>
        <v>0</v>
      </c>
      <c r="S83" s="83">
        <f t="shared" si="20"/>
        <v>3.3159769799945282E-2</v>
      </c>
      <c r="T83" s="83">
        <f t="shared" si="21"/>
        <v>1.193058568329719E-2</v>
      </c>
      <c r="U83" s="83">
        <f t="shared" si="22"/>
        <v>2.0000000000000018E-2</v>
      </c>
    </row>
    <row r="84" spans="1:21" hidden="1" x14ac:dyDescent="0.35">
      <c r="A84" s="84" t="s">
        <v>30</v>
      </c>
      <c r="B84" s="80">
        <v>2023</v>
      </c>
      <c r="C84" s="80" t="s">
        <v>36</v>
      </c>
      <c r="D84" s="84">
        <v>174.9</v>
      </c>
      <c r="E84" s="84">
        <v>174.25</v>
      </c>
      <c r="F84" s="84">
        <v>181.4</v>
      </c>
      <c r="G84" s="84">
        <v>169</v>
      </c>
      <c r="H84" s="84">
        <v>173.5</v>
      </c>
      <c r="I84" s="84">
        <v>188.5</v>
      </c>
      <c r="J84" s="84">
        <v>186.6</v>
      </c>
      <c r="K84" s="84">
        <v>178.5</v>
      </c>
      <c r="N84" s="83">
        <f t="shared" si="16"/>
        <v>9.1480846197826704E-3</v>
      </c>
      <c r="O84" s="83">
        <f t="shared" si="17"/>
        <v>1.5112386417981849E-2</v>
      </c>
      <c r="P84" s="83">
        <f t="shared" si="18"/>
        <v>6.6152149944873617E-3</v>
      </c>
      <c r="Q84" s="83">
        <f t="shared" si="19"/>
        <v>-5.4437869822485108E-2</v>
      </c>
      <c r="R84" s="83">
        <f t="shared" si="23"/>
        <v>0</v>
      </c>
      <c r="S84" s="83">
        <f t="shared" si="20"/>
        <v>-7.9045092838196274E-2</v>
      </c>
      <c r="T84" s="83">
        <f t="shared" si="21"/>
        <v>-3.1082529474812381E-2</v>
      </c>
      <c r="U84" s="83">
        <f t="shared" si="22"/>
        <v>-3.3613445378151252E-2</v>
      </c>
    </row>
    <row r="85" spans="1:21" hidden="1" x14ac:dyDescent="0.35">
      <c r="A85" s="84" t="s">
        <v>33</v>
      </c>
      <c r="B85" s="88">
        <v>2023</v>
      </c>
      <c r="C85" s="88" t="s">
        <v>36</v>
      </c>
      <c r="D85" s="84">
        <v>176.5</v>
      </c>
      <c r="E85" s="84">
        <v>176.88333333333333</v>
      </c>
      <c r="F85" s="84">
        <v>182.6</v>
      </c>
      <c r="G85" s="84">
        <v>159.80000000000001</v>
      </c>
      <c r="H85" s="84">
        <v>173.5</v>
      </c>
      <c r="I85" s="84">
        <v>173.6</v>
      </c>
      <c r="J85" s="84">
        <v>180.8</v>
      </c>
      <c r="K85" s="84">
        <v>172.5</v>
      </c>
      <c r="N85" s="83">
        <f t="shared" si="16"/>
        <v>7.3654390934845271E-3</v>
      </c>
      <c r="O85" s="83">
        <f t="shared" si="17"/>
        <v>-9.6108546122680716E-3</v>
      </c>
      <c r="P85" s="83">
        <f t="shared" si="18"/>
        <v>-3.8335158817085491E-3</v>
      </c>
      <c r="Q85" s="83">
        <f t="shared" si="19"/>
        <v>2.7534418022528095E-2</v>
      </c>
      <c r="R85" s="83">
        <f t="shared" si="23"/>
        <v>0</v>
      </c>
      <c r="S85" s="83">
        <f t="shared" si="20"/>
        <v>5.0691244239631228E-2</v>
      </c>
      <c r="T85" s="83">
        <f t="shared" si="21"/>
        <v>1.9911504424778625E-2</v>
      </c>
      <c r="U85" s="83">
        <f t="shared" si="22"/>
        <v>1.449275362318847E-2</v>
      </c>
    </row>
    <row r="86" spans="1:21" x14ac:dyDescent="0.35">
      <c r="A86" s="84" t="s">
        <v>34</v>
      </c>
      <c r="B86" s="80">
        <v>2023</v>
      </c>
      <c r="C86" s="80" t="s">
        <v>36</v>
      </c>
      <c r="D86" s="84">
        <v>177.8</v>
      </c>
      <c r="E86" s="84">
        <v>175.18333333333331</v>
      </c>
      <c r="F86" s="84">
        <v>181.9</v>
      </c>
      <c r="G86" s="84">
        <v>164.2</v>
      </c>
      <c r="H86" s="84">
        <v>173.5</v>
      </c>
      <c r="I86" s="84">
        <v>182.39999999999998</v>
      </c>
      <c r="J86" s="84">
        <v>184.4</v>
      </c>
      <c r="K86" s="84">
        <v>175</v>
      </c>
      <c r="N86" s="83">
        <f t="shared" si="16"/>
        <v>1.1248593925758943E-3</v>
      </c>
      <c r="O86" s="83">
        <f t="shared" si="17"/>
        <v>-1.6649224621824166E-3</v>
      </c>
      <c r="P86" s="83">
        <f t="shared" si="18"/>
        <v>-2.1990104452996873E-3</v>
      </c>
      <c r="Q86" s="83">
        <f t="shared" si="19"/>
        <v>3.1668696711327771E-2</v>
      </c>
      <c r="R86" s="83">
        <f t="shared" si="23"/>
        <v>9.7982708933717078E-3</v>
      </c>
      <c r="S86" s="83">
        <f t="shared" si="20"/>
        <v>3.618421052631593E-2</v>
      </c>
      <c r="T86" s="83">
        <f t="shared" si="21"/>
        <v>1.5184381778741818E-2</v>
      </c>
      <c r="U86" s="83">
        <f t="shared" si="22"/>
        <v>2.5142857142857133E-2</v>
      </c>
    </row>
    <row r="87" spans="1:21" hidden="1" x14ac:dyDescent="0.35">
      <c r="A87" s="84" t="s">
        <v>30</v>
      </c>
      <c r="B87" s="88">
        <v>2023</v>
      </c>
      <c r="C87" s="88" t="s">
        <v>37</v>
      </c>
      <c r="D87" s="84">
        <v>178</v>
      </c>
      <c r="E87" s="84">
        <v>174.89166666666665</v>
      </c>
      <c r="F87" s="84">
        <v>181.5</v>
      </c>
      <c r="G87" s="84">
        <v>169.4</v>
      </c>
      <c r="H87" s="84">
        <v>175.2</v>
      </c>
      <c r="I87" s="84">
        <v>189</v>
      </c>
      <c r="J87" s="84">
        <v>187.2</v>
      </c>
      <c r="K87" s="84">
        <v>179.4</v>
      </c>
      <c r="N87" s="83">
        <f t="shared" si="16"/>
        <v>-4.4943820224719877E-3</v>
      </c>
      <c r="O87" s="83">
        <f t="shared" si="17"/>
        <v>1.7582312860342286E-2</v>
      </c>
      <c r="P87" s="83">
        <f t="shared" si="18"/>
        <v>3.3057851239668423E-3</v>
      </c>
      <c r="Q87" s="83">
        <f t="shared" si="19"/>
        <v>-5.4899645808736741E-2</v>
      </c>
      <c r="R87" s="83">
        <f t="shared" si="23"/>
        <v>0</v>
      </c>
      <c r="S87" s="83">
        <f t="shared" si="20"/>
        <v>-7.7513227513227534E-2</v>
      </c>
      <c r="T87" s="83">
        <f t="shared" si="21"/>
        <v>-3.0448717948717841E-2</v>
      </c>
      <c r="U87" s="83">
        <f t="shared" si="22"/>
        <v>-2.898550724637694E-2</v>
      </c>
    </row>
    <row r="88" spans="1:21" hidden="1" x14ac:dyDescent="0.35">
      <c r="A88" s="84" t="s">
        <v>33</v>
      </c>
      <c r="B88" s="80">
        <v>2023</v>
      </c>
      <c r="C88" s="80" t="s">
        <v>37</v>
      </c>
      <c r="D88" s="84">
        <v>177.2</v>
      </c>
      <c r="E88" s="84">
        <v>177.9666666666667</v>
      </c>
      <c r="F88" s="84">
        <v>182.1</v>
      </c>
      <c r="G88" s="84">
        <v>160.1</v>
      </c>
      <c r="H88" s="84">
        <v>175.2</v>
      </c>
      <c r="I88" s="84">
        <v>174.35</v>
      </c>
      <c r="J88" s="84">
        <v>181.5</v>
      </c>
      <c r="K88" s="84">
        <v>174.2</v>
      </c>
      <c r="N88" s="83">
        <f t="shared" si="16"/>
        <v>-5.0790067720088983E-3</v>
      </c>
      <c r="O88" s="83">
        <f t="shared" si="17"/>
        <v>-1.1191234313541853E-2</v>
      </c>
      <c r="P88" s="83">
        <f t="shared" si="18"/>
        <v>-2.1965952773201902E-3</v>
      </c>
      <c r="Q88" s="83">
        <f t="shared" si="19"/>
        <v>2.7482823235477793E-2</v>
      </c>
      <c r="R88" s="83">
        <f t="shared" si="23"/>
        <v>0</v>
      </c>
      <c r="S88" s="83">
        <f t="shared" si="20"/>
        <v>4.9899627186693607E-2</v>
      </c>
      <c r="T88" s="83">
        <f t="shared" si="21"/>
        <v>1.9283746556473913E-2</v>
      </c>
      <c r="U88" s="83">
        <f t="shared" si="22"/>
        <v>1.2629161882893314E-2</v>
      </c>
    </row>
    <row r="89" spans="1:21" x14ac:dyDescent="0.35">
      <c r="A89" s="84" t="s">
        <v>34</v>
      </c>
      <c r="B89" s="88">
        <v>2023</v>
      </c>
      <c r="C89" s="88" t="s">
        <v>37</v>
      </c>
      <c r="D89" s="84">
        <v>176.3</v>
      </c>
      <c r="E89" s="84">
        <v>175.97500000000002</v>
      </c>
      <c r="F89" s="84">
        <v>181.7</v>
      </c>
      <c r="G89" s="84">
        <v>164.5</v>
      </c>
      <c r="H89" s="84">
        <v>175.2</v>
      </c>
      <c r="I89" s="84">
        <v>183.05</v>
      </c>
      <c r="J89" s="84">
        <v>185</v>
      </c>
      <c r="K89" s="84">
        <v>176.4</v>
      </c>
      <c r="N89" s="83">
        <f t="shared" si="16"/>
        <v>1.418037436188313E-2</v>
      </c>
      <c r="O89" s="83">
        <f t="shared" si="17"/>
        <v>1.0418146517026106E-3</v>
      </c>
      <c r="P89" s="83">
        <f t="shared" si="18"/>
        <v>4.4028618602092173E-3</v>
      </c>
      <c r="Q89" s="83">
        <f t="shared" si="19"/>
        <v>3.1610942249240104E-2</v>
      </c>
      <c r="R89" s="83">
        <f t="shared" si="23"/>
        <v>2.2831050228311334E-3</v>
      </c>
      <c r="S89" s="83">
        <f t="shared" si="20"/>
        <v>3.5509423654739081E-2</v>
      </c>
      <c r="T89" s="83">
        <f t="shared" si="21"/>
        <v>1.5135135135135203E-2</v>
      </c>
      <c r="U89" s="83">
        <f t="shared" si="22"/>
        <v>2.2108843537415046E-2</v>
      </c>
    </row>
    <row r="90" spans="1:21" hidden="1" x14ac:dyDescent="0.35">
      <c r="A90" s="84" t="s">
        <v>30</v>
      </c>
      <c r="B90" s="80">
        <v>2023</v>
      </c>
      <c r="C90" s="80" t="s">
        <v>38</v>
      </c>
      <c r="D90" s="84">
        <v>178.8</v>
      </c>
      <c r="E90" s="84">
        <v>176.15833333333339</v>
      </c>
      <c r="F90" s="84">
        <v>182.5</v>
      </c>
      <c r="G90" s="84">
        <v>169.7</v>
      </c>
      <c r="H90" s="84">
        <v>175.6</v>
      </c>
      <c r="I90" s="84">
        <v>189.55</v>
      </c>
      <c r="J90" s="84">
        <v>187.8</v>
      </c>
      <c r="K90" s="84">
        <v>180.3</v>
      </c>
      <c r="N90" s="83">
        <f t="shared" si="16"/>
        <v>-3.9149888143177325E-3</v>
      </c>
      <c r="O90" s="83">
        <f t="shared" si="17"/>
        <v>1.8023558351861313E-2</v>
      </c>
      <c r="P90" s="83">
        <f t="shared" si="18"/>
        <v>4.9315068493152037E-3</v>
      </c>
      <c r="Q90" s="83">
        <f t="shared" si="19"/>
        <v>-5.4802592810842543E-2</v>
      </c>
      <c r="R90" s="83">
        <f t="shared" si="23"/>
        <v>0</v>
      </c>
      <c r="S90" s="83">
        <f t="shared" si="20"/>
        <v>-7.8343445001319068E-2</v>
      </c>
      <c r="T90" s="83">
        <f t="shared" si="21"/>
        <v>-2.9818956336528313E-2</v>
      </c>
      <c r="U90" s="83">
        <f t="shared" si="22"/>
        <v>-3.0504714364947283E-2</v>
      </c>
    </row>
    <row r="91" spans="1:21" hidden="1" x14ac:dyDescent="0.35">
      <c r="A91" s="84" t="s">
        <v>33</v>
      </c>
      <c r="B91" s="88">
        <v>2023</v>
      </c>
      <c r="C91" s="88" t="s">
        <v>38</v>
      </c>
      <c r="D91" s="84">
        <v>178.1</v>
      </c>
      <c r="E91" s="84">
        <v>179.33333333333334</v>
      </c>
      <c r="F91" s="84">
        <v>183.4</v>
      </c>
      <c r="G91" s="84">
        <v>160.4</v>
      </c>
      <c r="H91" s="84">
        <v>175.6</v>
      </c>
      <c r="I91" s="84">
        <v>174.7</v>
      </c>
      <c r="J91" s="84">
        <v>182.2</v>
      </c>
      <c r="K91" s="84">
        <v>174.8</v>
      </c>
      <c r="N91" s="83">
        <f t="shared" si="16"/>
        <v>-3.9303761931498427E-3</v>
      </c>
      <c r="O91" s="83">
        <f t="shared" si="17"/>
        <v>-1.1245353159851201E-2</v>
      </c>
      <c r="P91" s="83">
        <f t="shared" si="18"/>
        <v>-3.2715376226826187E-3</v>
      </c>
      <c r="Q91" s="83">
        <f t="shared" si="19"/>
        <v>2.7431421446383997E-2</v>
      </c>
      <c r="R91" s="83">
        <f t="shared" si="23"/>
        <v>0</v>
      </c>
      <c r="S91" s="83">
        <f t="shared" si="20"/>
        <v>5.037206639954217E-2</v>
      </c>
      <c r="T91" s="83">
        <f t="shared" si="21"/>
        <v>1.9209659714599425E-2</v>
      </c>
      <c r="U91" s="83">
        <f t="shared" si="22"/>
        <v>1.3157894736842035E-2</v>
      </c>
    </row>
    <row r="92" spans="1:21" x14ac:dyDescent="0.35">
      <c r="A92" s="84" t="s">
        <v>34</v>
      </c>
      <c r="B92" s="80">
        <v>2023</v>
      </c>
      <c r="C92" s="80" t="s">
        <v>38</v>
      </c>
      <c r="D92" s="84">
        <v>177.4</v>
      </c>
      <c r="E92" s="84">
        <v>177.31666666666669</v>
      </c>
      <c r="F92" s="84">
        <v>182.8</v>
      </c>
      <c r="G92" s="84">
        <v>164.8</v>
      </c>
      <c r="H92" s="84">
        <v>175.6</v>
      </c>
      <c r="I92" s="84">
        <v>183.5</v>
      </c>
      <c r="J92" s="84">
        <v>185.7</v>
      </c>
      <c r="K92" s="84">
        <v>177.1</v>
      </c>
      <c r="N92" s="83">
        <f t="shared" si="16"/>
        <v>-1</v>
      </c>
      <c r="O92" s="83">
        <f t="shared" si="17"/>
        <v>-1</v>
      </c>
      <c r="P92" s="83">
        <f t="shared" si="18"/>
        <v>-1</v>
      </c>
      <c r="Q92" s="83">
        <f t="shared" si="19"/>
        <v>-1</v>
      </c>
      <c r="R92" s="83">
        <f t="shared" si="23"/>
        <v>-1</v>
      </c>
      <c r="S92" s="83">
        <f t="shared" si="20"/>
        <v>-1</v>
      </c>
      <c r="T92" s="83">
        <f t="shared" si="21"/>
        <v>-1</v>
      </c>
      <c r="U92" s="83">
        <f t="shared" si="22"/>
        <v>-1</v>
      </c>
    </row>
    <row r="96" spans="1:21" x14ac:dyDescent="0.35">
      <c r="Q96" s="144" t="s">
        <v>223</v>
      </c>
      <c r="R96" s="144"/>
      <c r="S96" s="144"/>
      <c r="T96" s="144"/>
    </row>
    <row r="97" spans="9:28" x14ac:dyDescent="0.35">
      <c r="Q97" s="85" t="s">
        <v>224</v>
      </c>
      <c r="R97" s="145" t="s">
        <v>51</v>
      </c>
      <c r="S97" s="145"/>
      <c r="T97" s="145"/>
    </row>
    <row r="98" spans="9:28" x14ac:dyDescent="0.35">
      <c r="Q98" s="143">
        <v>0.94709909431543104</v>
      </c>
      <c r="R98" s="143"/>
      <c r="S98" s="143"/>
      <c r="T98" s="143"/>
    </row>
    <row r="100" spans="9:28" x14ac:dyDescent="0.35">
      <c r="Q100" s="85" t="s">
        <v>224</v>
      </c>
      <c r="R100" s="145" t="s">
        <v>54</v>
      </c>
      <c r="S100" s="145"/>
      <c r="T100" s="145"/>
    </row>
    <row r="101" spans="9:28" x14ac:dyDescent="0.35">
      <c r="I101" s="95" t="s">
        <v>229</v>
      </c>
      <c r="J101" s="95"/>
      <c r="K101" s="95"/>
      <c r="L101" s="95"/>
      <c r="M101" s="95"/>
      <c r="N101" s="95"/>
      <c r="O101" s="95"/>
      <c r="Q101" s="143">
        <v>0.97675807452691965</v>
      </c>
      <c r="R101" s="143"/>
      <c r="S101" s="143"/>
      <c r="T101" s="143"/>
      <c r="X101" s="93" t="s">
        <v>227</v>
      </c>
      <c r="Y101" s="93"/>
      <c r="Z101" s="93"/>
      <c r="AA101" s="93"/>
      <c r="AB101" s="93"/>
    </row>
    <row r="102" spans="9:28" x14ac:dyDescent="0.35">
      <c r="I102" s="95"/>
      <c r="J102" s="95"/>
      <c r="K102" s="95"/>
      <c r="L102" s="95"/>
      <c r="M102" s="95"/>
      <c r="N102" s="95"/>
      <c r="O102" s="95"/>
      <c r="X102" s="93"/>
      <c r="Y102" s="93"/>
      <c r="Z102" s="93"/>
      <c r="AA102" s="93"/>
      <c r="AB102" s="93"/>
    </row>
    <row r="103" spans="9:28" x14ac:dyDescent="0.35">
      <c r="Q103" s="85" t="s">
        <v>224</v>
      </c>
      <c r="R103" s="145" t="s">
        <v>56</v>
      </c>
      <c r="S103" s="145"/>
      <c r="T103" s="145"/>
      <c r="X103" s="93"/>
      <c r="Y103" s="93"/>
      <c r="Z103" s="93"/>
      <c r="AA103" s="93"/>
      <c r="AB103" s="93"/>
    </row>
    <row r="104" spans="9:28" x14ac:dyDescent="0.35">
      <c r="I104" s="95" t="s">
        <v>230</v>
      </c>
      <c r="J104" s="95"/>
      <c r="K104" s="95"/>
      <c r="L104" s="95"/>
      <c r="M104" s="95"/>
      <c r="N104" s="95"/>
      <c r="O104" s="95"/>
      <c r="Q104" s="143">
        <v>0.96635762372090594</v>
      </c>
      <c r="R104" s="143"/>
      <c r="S104" s="143"/>
      <c r="T104" s="143"/>
      <c r="X104" s="93"/>
      <c r="Y104" s="93"/>
      <c r="Z104" s="93"/>
      <c r="AA104" s="93"/>
      <c r="AB104" s="93"/>
    </row>
    <row r="105" spans="9:28" x14ac:dyDescent="0.35">
      <c r="I105" s="95"/>
      <c r="J105" s="95"/>
      <c r="K105" s="95"/>
      <c r="L105" s="95"/>
      <c r="M105" s="95"/>
      <c r="N105" s="95"/>
      <c r="O105" s="95"/>
      <c r="X105" s="93"/>
      <c r="Y105" s="93"/>
      <c r="Z105" s="93"/>
      <c r="AA105" s="93"/>
      <c r="AB105" s="93"/>
    </row>
    <row r="106" spans="9:28" x14ac:dyDescent="0.35">
      <c r="Q106" s="85" t="s">
        <v>224</v>
      </c>
      <c r="R106" s="145" t="s">
        <v>221</v>
      </c>
      <c r="S106" s="145"/>
      <c r="T106" s="145"/>
      <c r="X106" s="93"/>
      <c r="Y106" s="93"/>
      <c r="Z106" s="93"/>
      <c r="AA106" s="93"/>
      <c r="AB106" s="93"/>
    </row>
    <row r="107" spans="9:28" x14ac:dyDescent="0.35">
      <c r="Q107" s="143">
        <v>0.49252846972115055</v>
      </c>
      <c r="R107" s="143"/>
      <c r="S107" s="143"/>
      <c r="T107" s="143"/>
      <c r="X107" s="93"/>
      <c r="Y107" s="93"/>
      <c r="Z107" s="93"/>
      <c r="AA107" s="93"/>
      <c r="AB107" s="93"/>
    </row>
    <row r="109" spans="9:28" ht="14.5" customHeight="1" x14ac:dyDescent="0.35">
      <c r="I109" s="93" t="s">
        <v>237</v>
      </c>
      <c r="J109" s="93"/>
      <c r="K109" s="93"/>
      <c r="L109" s="93"/>
      <c r="M109" s="93"/>
      <c r="N109" s="93"/>
      <c r="Q109" s="85" t="s">
        <v>224</v>
      </c>
      <c r="R109" s="145" t="s">
        <v>53</v>
      </c>
      <c r="S109" s="145"/>
      <c r="T109" s="145"/>
    </row>
    <row r="110" spans="9:28" x14ac:dyDescent="0.35">
      <c r="I110" s="93"/>
      <c r="J110" s="93"/>
      <c r="K110" s="93"/>
      <c r="L110" s="93"/>
      <c r="M110" s="93"/>
      <c r="N110" s="93"/>
      <c r="Q110" s="143">
        <v>0.87054685538285703</v>
      </c>
      <c r="R110" s="143"/>
      <c r="S110" s="143"/>
      <c r="T110" s="143"/>
    </row>
    <row r="111" spans="9:28" x14ac:dyDescent="0.35">
      <c r="I111" s="93"/>
      <c r="J111" s="93"/>
      <c r="K111" s="93"/>
      <c r="L111" s="93"/>
      <c r="M111" s="93"/>
      <c r="N111" s="93"/>
    </row>
    <row r="112" spans="9:28" x14ac:dyDescent="0.35">
      <c r="I112" s="93"/>
      <c r="J112" s="93"/>
      <c r="K112" s="93"/>
      <c r="L112" s="93"/>
      <c r="M112" s="93"/>
      <c r="N112" s="93"/>
      <c r="Q112" s="85" t="s">
        <v>224</v>
      </c>
      <c r="R112" s="145" t="s">
        <v>23</v>
      </c>
      <c r="S112" s="145"/>
      <c r="T112" s="145"/>
    </row>
    <row r="113" spans="9:25" x14ac:dyDescent="0.35">
      <c r="I113" s="93"/>
      <c r="J113" s="93"/>
      <c r="K113" s="93"/>
      <c r="L113" s="93"/>
      <c r="M113" s="93"/>
      <c r="N113" s="93"/>
      <c r="Q113" s="143">
        <v>0.94919595767499998</v>
      </c>
      <c r="R113" s="143"/>
      <c r="S113" s="143"/>
      <c r="T113" s="143"/>
    </row>
    <row r="114" spans="9:25" x14ac:dyDescent="0.35">
      <c r="I114" s="93"/>
      <c r="J114" s="93"/>
      <c r="K114" s="93"/>
      <c r="L114" s="93"/>
      <c r="M114" s="93"/>
      <c r="N114" s="93"/>
    </row>
    <row r="115" spans="9:25" x14ac:dyDescent="0.35">
      <c r="Q115" s="85" t="s">
        <v>224</v>
      </c>
      <c r="R115" s="145" t="s">
        <v>26</v>
      </c>
      <c r="S115" s="145"/>
      <c r="T115" s="145"/>
    </row>
    <row r="116" spans="9:25" x14ac:dyDescent="0.35">
      <c r="Q116" s="143">
        <v>0.95772411434512583</v>
      </c>
      <c r="R116" s="143"/>
      <c r="S116" s="143"/>
      <c r="T116" s="143"/>
    </row>
    <row r="118" spans="9:25" x14ac:dyDescent="0.35">
      <c r="O118" s="144" t="s">
        <v>226</v>
      </c>
      <c r="P118" s="144"/>
      <c r="Q118" s="144"/>
      <c r="R118" s="144"/>
      <c r="S118" s="144"/>
      <c r="T118" s="144"/>
      <c r="U118" s="144"/>
      <c r="V118" s="144"/>
      <c r="W118" s="144"/>
      <c r="X118" s="144"/>
      <c r="Y118" s="144"/>
    </row>
  </sheetData>
  <autoFilter ref="A4:K92" xr:uid="{C7949CC4-5A39-4F4C-B2BA-F99FE94893D3}">
    <filterColumn colId="0">
      <filters>
        <filter val="Rural+Urban"/>
      </filters>
    </filterColumn>
  </autoFilter>
  <mergeCells count="23">
    <mergeCell ref="O118:Y118"/>
    <mergeCell ref="X101:AB107"/>
    <mergeCell ref="W1:AB29"/>
    <mergeCell ref="I101:O102"/>
    <mergeCell ref="Q110:T110"/>
    <mergeCell ref="R112:T112"/>
    <mergeCell ref="Q113:T113"/>
    <mergeCell ref="R115:T115"/>
    <mergeCell ref="Q116:T116"/>
    <mergeCell ref="O2:Q2"/>
    <mergeCell ref="I104:O105"/>
    <mergeCell ref="R103:T103"/>
    <mergeCell ref="Q104:T104"/>
    <mergeCell ref="R106:T106"/>
    <mergeCell ref="Q107:T107"/>
    <mergeCell ref="R109:T109"/>
    <mergeCell ref="I109:N114"/>
    <mergeCell ref="Q101:T101"/>
    <mergeCell ref="F2:H2"/>
    <mergeCell ref="Q98:T98"/>
    <mergeCell ref="R97:T97"/>
    <mergeCell ref="Q96:T96"/>
    <mergeCell ref="R100:T100"/>
  </mergeCells>
  <pageMargins left="0.7" right="0.7" top="0.75" bottom="0.75" header="0.3" footer="0.3"/>
  <pageSetup paperSize="9" orientation="portrait" r:id="rId1"/>
  <ignoredErrors>
    <ignoredError sqref="R5" 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A2C01-5688-4B69-BF4D-E6CFCB5C5016}">
  <dimension ref="A1:B127"/>
  <sheetViews>
    <sheetView workbookViewId="0">
      <selection activeCell="B38" sqref="B38"/>
    </sheetView>
  </sheetViews>
  <sheetFormatPr defaultRowHeight="14.5" x14ac:dyDescent="0.35"/>
  <cols>
    <col min="1" max="1" width="12.453125" bestFit="1" customWidth="1"/>
    <col min="2" max="2" width="21.54296875" bestFit="1" customWidth="1"/>
  </cols>
  <sheetData>
    <row r="1" spans="1:2" x14ac:dyDescent="0.35">
      <c r="A1" s="2" t="s">
        <v>0</v>
      </c>
      <c r="B1" t="s">
        <v>34</v>
      </c>
    </row>
    <row r="3" spans="1:2" x14ac:dyDescent="0.35">
      <c r="A3" s="2" t="s">
        <v>59</v>
      </c>
      <c r="B3" t="s">
        <v>81</v>
      </c>
    </row>
    <row r="4" spans="1:2" x14ac:dyDescent="0.35">
      <c r="A4" s="28">
        <v>41275</v>
      </c>
      <c r="B4">
        <v>104.6</v>
      </c>
    </row>
    <row r="5" spans="1:2" x14ac:dyDescent="0.35">
      <c r="A5" s="28">
        <v>41306</v>
      </c>
      <c r="B5">
        <v>105.3</v>
      </c>
    </row>
    <row r="6" spans="1:2" x14ac:dyDescent="0.35">
      <c r="A6" s="28">
        <v>41334</v>
      </c>
      <c r="B6">
        <v>105.5</v>
      </c>
    </row>
    <row r="7" spans="1:2" x14ac:dyDescent="0.35">
      <c r="A7" s="28">
        <v>41365</v>
      </c>
      <c r="B7">
        <v>106.1</v>
      </c>
    </row>
    <row r="8" spans="1:2" x14ac:dyDescent="0.35">
      <c r="A8" s="28">
        <v>41395</v>
      </c>
      <c r="B8">
        <v>106.9</v>
      </c>
    </row>
    <row r="9" spans="1:2" x14ac:dyDescent="0.35">
      <c r="A9" s="28">
        <v>41426</v>
      </c>
      <c r="B9">
        <v>109.3</v>
      </c>
    </row>
    <row r="10" spans="1:2" x14ac:dyDescent="0.35">
      <c r="A10" s="28">
        <v>41456</v>
      </c>
      <c r="B10">
        <v>111</v>
      </c>
    </row>
    <row r="11" spans="1:2" x14ac:dyDescent="0.35">
      <c r="A11" s="28">
        <v>41487</v>
      </c>
      <c r="B11">
        <v>112.4</v>
      </c>
    </row>
    <row r="12" spans="1:2" x14ac:dyDescent="0.35">
      <c r="A12" s="28">
        <v>41518</v>
      </c>
      <c r="B12">
        <v>113.7</v>
      </c>
    </row>
    <row r="13" spans="1:2" x14ac:dyDescent="0.35">
      <c r="A13" s="28">
        <v>41548</v>
      </c>
      <c r="B13">
        <v>114.8</v>
      </c>
    </row>
    <row r="14" spans="1:2" x14ac:dyDescent="0.35">
      <c r="A14" s="28">
        <v>41579</v>
      </c>
      <c r="B14">
        <v>116.3</v>
      </c>
    </row>
    <row r="15" spans="1:2" x14ac:dyDescent="0.35">
      <c r="A15" s="28">
        <v>41609</v>
      </c>
      <c r="B15">
        <v>114.5</v>
      </c>
    </row>
    <row r="16" spans="1:2" x14ac:dyDescent="0.35">
      <c r="A16" s="28">
        <v>41640</v>
      </c>
      <c r="B16">
        <v>113.6</v>
      </c>
    </row>
    <row r="17" spans="1:2" x14ac:dyDescent="0.35">
      <c r="A17" s="28">
        <v>41671</v>
      </c>
      <c r="B17">
        <v>113.6</v>
      </c>
    </row>
    <row r="18" spans="1:2" x14ac:dyDescent="0.35">
      <c r="A18" s="28">
        <v>41699</v>
      </c>
      <c r="B18">
        <v>114.2</v>
      </c>
    </row>
    <row r="19" spans="1:2" x14ac:dyDescent="0.35">
      <c r="A19" s="28">
        <v>41730</v>
      </c>
      <c r="B19">
        <v>115.1</v>
      </c>
    </row>
    <row r="20" spans="1:2" x14ac:dyDescent="0.35">
      <c r="A20" s="28">
        <v>41760</v>
      </c>
      <c r="B20">
        <v>115.8</v>
      </c>
    </row>
    <row r="21" spans="1:2" x14ac:dyDescent="0.35">
      <c r="A21" s="28">
        <v>41791</v>
      </c>
      <c r="B21">
        <v>116.7</v>
      </c>
    </row>
    <row r="22" spans="1:2" x14ac:dyDescent="0.35">
      <c r="A22" s="28">
        <v>41821</v>
      </c>
      <c r="B22">
        <v>119.2</v>
      </c>
    </row>
    <row r="23" spans="1:2" x14ac:dyDescent="0.35">
      <c r="A23" s="28">
        <v>41852</v>
      </c>
      <c r="B23">
        <v>120.3</v>
      </c>
    </row>
    <row r="24" spans="1:2" x14ac:dyDescent="0.35">
      <c r="A24" s="28">
        <v>41883</v>
      </c>
      <c r="B24">
        <v>120.1</v>
      </c>
    </row>
    <row r="25" spans="1:2" x14ac:dyDescent="0.35">
      <c r="A25" s="28">
        <v>41913</v>
      </c>
      <c r="B25">
        <v>120.1</v>
      </c>
    </row>
    <row r="26" spans="1:2" x14ac:dyDescent="0.35">
      <c r="A26" s="28">
        <v>41944</v>
      </c>
      <c r="B26">
        <v>120.1</v>
      </c>
    </row>
    <row r="27" spans="1:2" x14ac:dyDescent="0.35">
      <c r="A27" s="28">
        <v>41974</v>
      </c>
      <c r="B27">
        <v>119.4</v>
      </c>
    </row>
    <row r="28" spans="1:2" x14ac:dyDescent="0.35">
      <c r="A28" s="28">
        <v>42005</v>
      </c>
      <c r="B28">
        <v>119.5</v>
      </c>
    </row>
    <row r="29" spans="1:2" x14ac:dyDescent="0.35">
      <c r="A29" s="28">
        <v>42036</v>
      </c>
      <c r="B29">
        <v>119.7</v>
      </c>
    </row>
    <row r="30" spans="1:2" x14ac:dyDescent="0.35">
      <c r="A30" s="28">
        <v>42064</v>
      </c>
      <c r="B30">
        <v>120.2</v>
      </c>
    </row>
    <row r="31" spans="1:2" x14ac:dyDescent="0.35">
      <c r="A31" s="28">
        <v>42095</v>
      </c>
      <c r="B31">
        <v>120.7</v>
      </c>
    </row>
    <row r="32" spans="1:2" x14ac:dyDescent="0.35">
      <c r="A32" s="28">
        <v>42125</v>
      </c>
      <c r="B32">
        <v>121.6</v>
      </c>
    </row>
    <row r="33" spans="1:2" x14ac:dyDescent="0.35">
      <c r="A33" s="28">
        <v>42156</v>
      </c>
      <c r="B33">
        <v>123</v>
      </c>
    </row>
    <row r="34" spans="1:2" x14ac:dyDescent="0.35">
      <c r="A34" s="28">
        <v>42186</v>
      </c>
      <c r="B34">
        <v>123.6</v>
      </c>
    </row>
    <row r="35" spans="1:2" x14ac:dyDescent="0.35">
      <c r="A35" s="28">
        <v>42217</v>
      </c>
      <c r="B35">
        <v>124.8</v>
      </c>
    </row>
    <row r="36" spans="1:2" x14ac:dyDescent="0.35">
      <c r="A36" s="28">
        <v>42248</v>
      </c>
      <c r="B36">
        <v>125.4</v>
      </c>
    </row>
    <row r="37" spans="1:2" x14ac:dyDescent="0.35">
      <c r="A37" s="28">
        <v>42278</v>
      </c>
      <c r="B37">
        <v>126.1</v>
      </c>
    </row>
    <row r="38" spans="1:2" x14ac:dyDescent="0.35">
      <c r="A38" s="28">
        <v>42309</v>
      </c>
      <c r="B38">
        <v>126.6</v>
      </c>
    </row>
    <row r="39" spans="1:2" x14ac:dyDescent="0.35">
      <c r="A39" s="28">
        <v>42339</v>
      </c>
      <c r="B39">
        <v>126.1</v>
      </c>
    </row>
    <row r="40" spans="1:2" x14ac:dyDescent="0.35">
      <c r="A40" s="28">
        <v>42370</v>
      </c>
      <c r="B40">
        <v>126.3</v>
      </c>
    </row>
    <row r="41" spans="1:2" x14ac:dyDescent="0.35">
      <c r="A41" s="28">
        <v>42401</v>
      </c>
      <c r="B41">
        <v>126</v>
      </c>
    </row>
    <row r="42" spans="1:2" x14ac:dyDescent="0.35">
      <c r="A42" s="28">
        <v>42430</v>
      </c>
      <c r="B42">
        <v>126</v>
      </c>
    </row>
    <row r="43" spans="1:2" x14ac:dyDescent="0.35">
      <c r="A43" s="28">
        <v>42461</v>
      </c>
      <c r="B43">
        <v>127.3</v>
      </c>
    </row>
    <row r="44" spans="1:2" x14ac:dyDescent="0.35">
      <c r="A44" s="28">
        <v>42491</v>
      </c>
      <c r="B44">
        <v>128.6</v>
      </c>
    </row>
    <row r="45" spans="1:2" x14ac:dyDescent="0.35">
      <c r="A45" s="28">
        <v>42522</v>
      </c>
      <c r="B45">
        <v>130.1</v>
      </c>
    </row>
    <row r="46" spans="1:2" x14ac:dyDescent="0.35">
      <c r="A46" s="28">
        <v>42552</v>
      </c>
      <c r="B46">
        <v>131.1</v>
      </c>
    </row>
    <row r="47" spans="1:2" x14ac:dyDescent="0.35">
      <c r="A47" s="28">
        <v>42583</v>
      </c>
      <c r="B47">
        <v>131.1</v>
      </c>
    </row>
    <row r="48" spans="1:2" x14ac:dyDescent="0.35">
      <c r="A48" s="28">
        <v>42614</v>
      </c>
      <c r="B48">
        <v>130.9</v>
      </c>
    </row>
    <row r="49" spans="1:2" x14ac:dyDescent="0.35">
      <c r="A49" s="28">
        <v>42644</v>
      </c>
      <c r="B49">
        <v>131.4</v>
      </c>
    </row>
    <row r="50" spans="1:2" x14ac:dyDescent="0.35">
      <c r="A50" s="28">
        <v>42675</v>
      </c>
      <c r="B50">
        <v>131.19999999999999</v>
      </c>
    </row>
    <row r="51" spans="1:2" x14ac:dyDescent="0.35">
      <c r="A51" s="28">
        <v>42705</v>
      </c>
      <c r="B51">
        <v>130.4</v>
      </c>
    </row>
    <row r="52" spans="1:2" x14ac:dyDescent="0.35">
      <c r="A52" s="28">
        <v>42736</v>
      </c>
      <c r="B52">
        <v>130.30000000000001</v>
      </c>
    </row>
    <row r="53" spans="1:2" x14ac:dyDescent="0.35">
      <c r="A53" s="28">
        <v>42767</v>
      </c>
      <c r="B53">
        <v>130.6</v>
      </c>
    </row>
    <row r="54" spans="1:2" x14ac:dyDescent="0.35">
      <c r="A54" s="28">
        <v>42795</v>
      </c>
      <c r="B54">
        <v>130.9</v>
      </c>
    </row>
    <row r="55" spans="1:2" x14ac:dyDescent="0.35">
      <c r="A55" s="28">
        <v>42826</v>
      </c>
      <c r="B55">
        <v>131.1</v>
      </c>
    </row>
    <row r="56" spans="1:2" x14ac:dyDescent="0.35">
      <c r="A56" s="28">
        <v>42856</v>
      </c>
      <c r="B56">
        <v>131.4</v>
      </c>
    </row>
    <row r="57" spans="1:2" x14ac:dyDescent="0.35">
      <c r="A57" s="28">
        <v>42887</v>
      </c>
      <c r="B57">
        <v>132</v>
      </c>
    </row>
    <row r="58" spans="1:2" x14ac:dyDescent="0.35">
      <c r="A58" s="28">
        <v>42917</v>
      </c>
      <c r="B58">
        <v>134.19999999999999</v>
      </c>
    </row>
    <row r="59" spans="1:2" x14ac:dyDescent="0.35">
      <c r="A59" s="28">
        <v>42948</v>
      </c>
      <c r="B59">
        <v>135.4</v>
      </c>
    </row>
    <row r="60" spans="1:2" x14ac:dyDescent="0.35">
      <c r="A60" s="28">
        <v>42979</v>
      </c>
      <c r="B60">
        <v>135.19999999999999</v>
      </c>
    </row>
    <row r="61" spans="1:2" x14ac:dyDescent="0.35">
      <c r="A61" s="28">
        <v>43009</v>
      </c>
      <c r="B61">
        <v>136.1</v>
      </c>
    </row>
    <row r="62" spans="1:2" x14ac:dyDescent="0.35">
      <c r="A62" s="28">
        <v>43040</v>
      </c>
      <c r="B62">
        <v>137.6</v>
      </c>
    </row>
    <row r="63" spans="1:2" x14ac:dyDescent="0.35">
      <c r="A63" s="28">
        <v>43070</v>
      </c>
      <c r="B63">
        <v>137.19999999999999</v>
      </c>
    </row>
    <row r="64" spans="1:2" x14ac:dyDescent="0.35">
      <c r="A64" s="28">
        <v>43101</v>
      </c>
      <c r="B64">
        <v>136.9</v>
      </c>
    </row>
    <row r="65" spans="1:2" x14ac:dyDescent="0.35">
      <c r="A65" s="28">
        <v>43132</v>
      </c>
      <c r="B65">
        <v>136.4</v>
      </c>
    </row>
    <row r="66" spans="1:2" x14ac:dyDescent="0.35">
      <c r="A66" s="28">
        <v>43160</v>
      </c>
      <c r="B66">
        <v>136.5</v>
      </c>
    </row>
    <row r="67" spans="1:2" x14ac:dyDescent="0.35">
      <c r="A67" s="28">
        <v>43191</v>
      </c>
      <c r="B67">
        <v>137.1</v>
      </c>
    </row>
    <row r="68" spans="1:2" x14ac:dyDescent="0.35">
      <c r="A68" s="28">
        <v>43221</v>
      </c>
      <c r="B68">
        <v>137.80000000000001</v>
      </c>
    </row>
    <row r="69" spans="1:2" x14ac:dyDescent="0.35">
      <c r="A69" s="28">
        <v>43252</v>
      </c>
      <c r="B69">
        <v>138.5</v>
      </c>
    </row>
    <row r="70" spans="1:2" x14ac:dyDescent="0.35">
      <c r="A70" s="28">
        <v>43282</v>
      </c>
      <c r="B70">
        <v>139.80000000000001</v>
      </c>
    </row>
    <row r="71" spans="1:2" x14ac:dyDescent="0.35">
      <c r="A71" s="28">
        <v>43313</v>
      </c>
      <c r="B71">
        <v>140.4</v>
      </c>
    </row>
    <row r="72" spans="1:2" x14ac:dyDescent="0.35">
      <c r="A72" s="28">
        <v>43344</v>
      </c>
      <c r="B72">
        <v>140.19999999999999</v>
      </c>
    </row>
    <row r="73" spans="1:2" x14ac:dyDescent="0.35">
      <c r="A73" s="28">
        <v>43374</v>
      </c>
      <c r="B73">
        <v>140.80000000000001</v>
      </c>
    </row>
    <row r="74" spans="1:2" x14ac:dyDescent="0.35">
      <c r="A74" s="28">
        <v>43405</v>
      </c>
      <c r="B74">
        <v>140.80000000000001</v>
      </c>
    </row>
    <row r="75" spans="1:2" x14ac:dyDescent="0.35">
      <c r="A75" s="28">
        <v>43435</v>
      </c>
      <c r="B75">
        <v>140.1</v>
      </c>
    </row>
    <row r="76" spans="1:2" x14ac:dyDescent="0.35">
      <c r="A76" s="28">
        <v>43466</v>
      </c>
      <c r="B76">
        <v>139.6</v>
      </c>
    </row>
    <row r="77" spans="1:2" x14ac:dyDescent="0.35">
      <c r="A77" s="28">
        <v>43497</v>
      </c>
      <c r="B77">
        <v>139.9</v>
      </c>
    </row>
    <row r="78" spans="1:2" x14ac:dyDescent="0.35">
      <c r="A78" s="28">
        <v>43525</v>
      </c>
      <c r="B78">
        <v>140.4</v>
      </c>
    </row>
    <row r="79" spans="1:2" x14ac:dyDescent="0.35">
      <c r="A79" s="28">
        <v>43586</v>
      </c>
      <c r="B79">
        <v>142</v>
      </c>
    </row>
    <row r="80" spans="1:2" x14ac:dyDescent="0.35">
      <c r="A80" s="28">
        <v>43617</v>
      </c>
      <c r="B80">
        <v>142.9</v>
      </c>
    </row>
    <row r="81" spans="1:2" x14ac:dyDescent="0.35">
      <c r="A81" s="28">
        <v>43647</v>
      </c>
      <c r="B81">
        <v>144.19999999999999</v>
      </c>
    </row>
    <row r="82" spans="1:2" x14ac:dyDescent="0.35">
      <c r="A82" s="28">
        <v>43678</v>
      </c>
      <c r="B82">
        <v>145</v>
      </c>
    </row>
    <row r="83" spans="1:2" x14ac:dyDescent="0.35">
      <c r="A83" s="28">
        <v>43709</v>
      </c>
      <c r="B83">
        <v>145.80000000000001</v>
      </c>
    </row>
    <row r="84" spans="1:2" x14ac:dyDescent="0.35">
      <c r="A84" s="28">
        <v>43739</v>
      </c>
      <c r="B84">
        <v>147.19999999999999</v>
      </c>
    </row>
    <row r="85" spans="1:2" x14ac:dyDescent="0.35">
      <c r="A85" s="28">
        <v>43770</v>
      </c>
      <c r="B85">
        <v>148.6</v>
      </c>
    </row>
    <row r="86" spans="1:2" x14ac:dyDescent="0.35">
      <c r="A86" s="28">
        <v>43800</v>
      </c>
      <c r="B86">
        <v>150.4</v>
      </c>
    </row>
    <row r="87" spans="1:2" x14ac:dyDescent="0.35">
      <c r="A87" s="28">
        <v>43831</v>
      </c>
      <c r="B87">
        <v>150.19999999999999</v>
      </c>
    </row>
    <row r="88" spans="1:2" x14ac:dyDescent="0.35">
      <c r="A88" s="28">
        <v>43862</v>
      </c>
      <c r="B88">
        <v>149.1</v>
      </c>
    </row>
    <row r="89" spans="1:2" x14ac:dyDescent="0.35">
      <c r="A89" s="28">
        <v>43891</v>
      </c>
      <c r="B89">
        <v>148.6</v>
      </c>
    </row>
    <row r="90" spans="1:2" x14ac:dyDescent="0.35">
      <c r="A90" s="28">
        <v>43922</v>
      </c>
      <c r="B90">
        <v>149.66666666666666</v>
      </c>
    </row>
    <row r="91" spans="1:2" x14ac:dyDescent="0.35">
      <c r="A91" s="28">
        <v>43952</v>
      </c>
      <c r="B91">
        <v>150.73333333333332</v>
      </c>
    </row>
    <row r="92" spans="1:2" x14ac:dyDescent="0.35">
      <c r="A92" s="28">
        <v>43983</v>
      </c>
      <c r="B92">
        <v>151.80000000000001</v>
      </c>
    </row>
    <row r="93" spans="1:2" x14ac:dyDescent="0.35">
      <c r="A93" s="28">
        <v>44013</v>
      </c>
      <c r="B93">
        <v>151.80000000000001</v>
      </c>
    </row>
    <row r="94" spans="1:2" x14ac:dyDescent="0.35">
      <c r="A94" s="28">
        <v>44044</v>
      </c>
      <c r="B94">
        <v>153.9</v>
      </c>
    </row>
    <row r="95" spans="1:2" x14ac:dyDescent="0.35">
      <c r="A95" s="28">
        <v>44075</v>
      </c>
      <c r="B95">
        <v>154.69999999999999</v>
      </c>
    </row>
    <row r="96" spans="1:2" x14ac:dyDescent="0.35">
      <c r="A96" s="28">
        <v>44105</v>
      </c>
      <c r="B96">
        <v>156.4</v>
      </c>
    </row>
    <row r="97" spans="1:2" x14ac:dyDescent="0.35">
      <c r="A97" s="28">
        <v>44136</v>
      </c>
      <c r="B97">
        <v>158.4</v>
      </c>
    </row>
    <row r="98" spans="1:2" x14ac:dyDescent="0.35">
      <c r="A98" s="28">
        <v>44166</v>
      </c>
      <c r="B98">
        <v>158.9</v>
      </c>
    </row>
    <row r="99" spans="1:2" x14ac:dyDescent="0.35">
      <c r="A99" s="28">
        <v>44197</v>
      </c>
      <c r="B99">
        <v>157.30000000000001</v>
      </c>
    </row>
    <row r="100" spans="1:2" x14ac:dyDescent="0.35">
      <c r="A100" s="28">
        <v>44228</v>
      </c>
      <c r="B100">
        <v>156.6</v>
      </c>
    </row>
    <row r="101" spans="1:2" x14ac:dyDescent="0.35">
      <c r="A101" s="28">
        <v>44256</v>
      </c>
      <c r="B101">
        <v>156.80000000000001</v>
      </c>
    </row>
    <row r="102" spans="1:2" x14ac:dyDescent="0.35">
      <c r="A102" s="28">
        <v>44287</v>
      </c>
      <c r="B102">
        <v>157.80000000000001</v>
      </c>
    </row>
    <row r="103" spans="1:2" x14ac:dyDescent="0.35">
      <c r="A103" s="28">
        <v>44317</v>
      </c>
      <c r="B103">
        <v>160.4</v>
      </c>
    </row>
    <row r="104" spans="1:2" x14ac:dyDescent="0.35">
      <c r="A104" s="28">
        <v>44348</v>
      </c>
      <c r="B104">
        <v>161.30000000000001</v>
      </c>
    </row>
    <row r="105" spans="1:2" x14ac:dyDescent="0.35">
      <c r="A105" s="28">
        <v>44378</v>
      </c>
      <c r="B105">
        <v>162.5</v>
      </c>
    </row>
    <row r="106" spans="1:2" x14ac:dyDescent="0.35">
      <c r="A106" s="28">
        <v>44409</v>
      </c>
      <c r="B106">
        <v>163.19999999999999</v>
      </c>
    </row>
    <row r="107" spans="1:2" x14ac:dyDescent="0.35">
      <c r="A107" s="28">
        <v>44440</v>
      </c>
      <c r="B107">
        <v>163.19999999999999</v>
      </c>
    </row>
    <row r="108" spans="1:2" x14ac:dyDescent="0.35">
      <c r="A108" s="28">
        <v>44470</v>
      </c>
      <c r="B108">
        <v>165.5</v>
      </c>
    </row>
    <row r="109" spans="1:2" x14ac:dyDescent="0.35">
      <c r="A109" s="28">
        <v>44501</v>
      </c>
      <c r="B109">
        <v>166.7</v>
      </c>
    </row>
    <row r="110" spans="1:2" x14ac:dyDescent="0.35">
      <c r="A110" s="28">
        <v>44531</v>
      </c>
      <c r="B110">
        <v>166.2</v>
      </c>
    </row>
    <row r="111" spans="1:2" x14ac:dyDescent="0.35">
      <c r="A111" s="28">
        <v>44562</v>
      </c>
      <c r="B111">
        <v>165.7</v>
      </c>
    </row>
    <row r="112" spans="1:2" x14ac:dyDescent="0.35">
      <c r="A112" s="28">
        <v>44593</v>
      </c>
      <c r="B112">
        <v>166.1</v>
      </c>
    </row>
    <row r="113" spans="1:2" x14ac:dyDescent="0.35">
      <c r="A113" s="28">
        <v>44621</v>
      </c>
      <c r="B113">
        <v>167.7</v>
      </c>
    </row>
    <row r="114" spans="1:2" x14ac:dyDescent="0.35">
      <c r="A114" s="28">
        <v>44652</v>
      </c>
      <c r="B114">
        <v>170.1</v>
      </c>
    </row>
    <row r="115" spans="1:2" x14ac:dyDescent="0.35">
      <c r="A115" s="28">
        <v>44682</v>
      </c>
      <c r="B115">
        <v>171.7</v>
      </c>
    </row>
    <row r="116" spans="1:2" x14ac:dyDescent="0.35">
      <c r="A116" s="28">
        <v>44713</v>
      </c>
      <c r="B116">
        <v>172.6</v>
      </c>
    </row>
    <row r="117" spans="1:2" x14ac:dyDescent="0.35">
      <c r="A117" s="28">
        <v>44743</v>
      </c>
      <c r="B117">
        <v>173.4</v>
      </c>
    </row>
    <row r="118" spans="1:2" x14ac:dyDescent="0.35">
      <c r="A118" s="28">
        <v>44774</v>
      </c>
      <c r="B118">
        <v>174.3</v>
      </c>
    </row>
    <row r="119" spans="1:2" x14ac:dyDescent="0.35">
      <c r="A119" s="28">
        <v>44805</v>
      </c>
      <c r="B119">
        <v>175.3</v>
      </c>
    </row>
    <row r="120" spans="1:2" x14ac:dyDescent="0.35">
      <c r="A120" s="28">
        <v>44835</v>
      </c>
      <c r="B120">
        <v>176.7</v>
      </c>
    </row>
    <row r="121" spans="1:2" x14ac:dyDescent="0.35">
      <c r="A121" s="28">
        <v>44866</v>
      </c>
      <c r="B121">
        <v>176.5</v>
      </c>
    </row>
    <row r="122" spans="1:2" x14ac:dyDescent="0.35">
      <c r="A122" s="28">
        <v>44896</v>
      </c>
      <c r="B122">
        <v>175.7</v>
      </c>
    </row>
    <row r="123" spans="1:2" x14ac:dyDescent="0.35">
      <c r="A123" s="28">
        <v>44927</v>
      </c>
      <c r="B123">
        <v>176.5</v>
      </c>
    </row>
    <row r="124" spans="1:2" x14ac:dyDescent="0.35">
      <c r="A124" s="28">
        <v>44958</v>
      </c>
      <c r="B124">
        <v>177.2</v>
      </c>
    </row>
    <row r="125" spans="1:2" x14ac:dyDescent="0.35">
      <c r="A125" s="28">
        <v>44986</v>
      </c>
      <c r="B125">
        <v>177.2</v>
      </c>
    </row>
    <row r="126" spans="1:2" x14ac:dyDescent="0.35">
      <c r="A126" s="28">
        <v>45017</v>
      </c>
      <c r="B126">
        <v>178.1</v>
      </c>
    </row>
    <row r="127" spans="1:2" x14ac:dyDescent="0.35">
      <c r="A127" s="28">
        <v>45047</v>
      </c>
      <c r="B127">
        <v>179.1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C1B78-02C9-481D-AAB7-6725AF8DECFC}">
  <dimension ref="A1:G127"/>
  <sheetViews>
    <sheetView zoomScale="51" workbookViewId="0">
      <selection activeCell="B3" sqref="B3:G3"/>
    </sheetView>
  </sheetViews>
  <sheetFormatPr defaultRowHeight="14.5" x14ac:dyDescent="0.35"/>
  <cols>
    <col min="1" max="1" width="18.453125" bestFit="1" customWidth="1"/>
    <col min="2" max="2" width="19.7265625" bestFit="1" customWidth="1"/>
    <col min="3" max="3" width="23.6328125" bestFit="1" customWidth="1"/>
    <col min="4" max="4" width="30.36328125" bestFit="1" customWidth="1"/>
    <col min="5" max="5" width="21.26953125" bestFit="1" customWidth="1"/>
    <col min="6" max="6" width="46.08984375" bestFit="1" customWidth="1"/>
    <col min="7" max="7" width="25.54296875" bestFit="1" customWidth="1"/>
  </cols>
  <sheetData>
    <row r="1" spans="1:7" x14ac:dyDescent="0.35">
      <c r="A1" s="2" t="s">
        <v>0</v>
      </c>
      <c r="B1" t="s">
        <v>34</v>
      </c>
    </row>
    <row r="3" spans="1:7" x14ac:dyDescent="0.35">
      <c r="A3" s="2" t="s">
        <v>59</v>
      </c>
      <c r="B3" t="s">
        <v>60</v>
      </c>
      <c r="C3" t="s">
        <v>63</v>
      </c>
      <c r="D3" t="s">
        <v>64</v>
      </c>
      <c r="E3" t="s">
        <v>66</v>
      </c>
      <c r="F3" t="s">
        <v>67</v>
      </c>
      <c r="G3" t="s">
        <v>69</v>
      </c>
    </row>
    <row r="4" spans="1:7" x14ac:dyDescent="0.35">
      <c r="A4" s="28">
        <v>41275</v>
      </c>
      <c r="B4" s="1">
        <v>105.64166666666669</v>
      </c>
      <c r="C4" s="1">
        <v>100.3</v>
      </c>
      <c r="D4" s="1">
        <v>105.5</v>
      </c>
      <c r="E4" s="1">
        <v>104</v>
      </c>
      <c r="F4" s="1">
        <v>103.2</v>
      </c>
      <c r="G4" s="1">
        <v>103.6</v>
      </c>
    </row>
    <row r="5" spans="1:7" x14ac:dyDescent="0.35">
      <c r="A5" s="28">
        <v>41306</v>
      </c>
      <c r="B5" s="1">
        <v>106.46666666666668</v>
      </c>
      <c r="C5" s="1">
        <v>100.4</v>
      </c>
      <c r="D5" s="1">
        <v>106</v>
      </c>
      <c r="E5" s="1">
        <v>104.5</v>
      </c>
      <c r="F5" s="1">
        <v>104.2</v>
      </c>
      <c r="G5" s="1">
        <v>103.9</v>
      </c>
    </row>
    <row r="6" spans="1:7" x14ac:dyDescent="0.35">
      <c r="A6" s="28">
        <v>41334</v>
      </c>
      <c r="B6" s="1">
        <v>106.42500000000001</v>
      </c>
      <c r="C6" s="1">
        <v>100.4</v>
      </c>
      <c r="D6" s="1">
        <v>106.1</v>
      </c>
      <c r="E6" s="1">
        <v>104.9</v>
      </c>
      <c r="F6" s="1">
        <v>105.1</v>
      </c>
      <c r="G6" s="1">
        <v>104</v>
      </c>
    </row>
    <row r="7" spans="1:7" x14ac:dyDescent="0.35">
      <c r="A7" s="28">
        <v>41365</v>
      </c>
      <c r="B7" s="1">
        <v>106.875</v>
      </c>
      <c r="C7" s="1">
        <v>100.5</v>
      </c>
      <c r="D7" s="1">
        <v>106.5</v>
      </c>
      <c r="E7" s="1">
        <v>105.3</v>
      </c>
      <c r="F7" s="1">
        <v>104.7</v>
      </c>
      <c r="G7" s="1">
        <v>105</v>
      </c>
    </row>
    <row r="8" spans="1:7" x14ac:dyDescent="0.35">
      <c r="A8" s="28">
        <v>41395</v>
      </c>
      <c r="B8" s="1">
        <v>107.74999999999999</v>
      </c>
      <c r="C8" s="1">
        <v>100.5</v>
      </c>
      <c r="D8" s="1">
        <v>107.4</v>
      </c>
      <c r="E8" s="1">
        <v>105.9</v>
      </c>
      <c r="F8" s="1">
        <v>104</v>
      </c>
      <c r="G8" s="1">
        <v>105.6</v>
      </c>
    </row>
    <row r="9" spans="1:7" x14ac:dyDescent="0.35">
      <c r="A9" s="28">
        <v>41426</v>
      </c>
      <c r="B9" s="1">
        <v>110.31666666666666</v>
      </c>
      <c r="C9" s="1">
        <v>106.6</v>
      </c>
      <c r="D9" s="1">
        <v>108.3</v>
      </c>
      <c r="E9" s="1">
        <v>106.4</v>
      </c>
      <c r="F9" s="1">
        <v>105.1</v>
      </c>
      <c r="G9" s="1">
        <v>107.4</v>
      </c>
    </row>
    <row r="10" spans="1:7" x14ac:dyDescent="0.35">
      <c r="A10" s="28">
        <v>41456</v>
      </c>
      <c r="B10" s="1">
        <v>112.22499999999998</v>
      </c>
      <c r="C10" s="1">
        <v>107.7</v>
      </c>
      <c r="D10" s="1">
        <v>109.2</v>
      </c>
      <c r="E10" s="1">
        <v>107</v>
      </c>
      <c r="F10" s="1">
        <v>107.1</v>
      </c>
      <c r="G10" s="1">
        <v>109.1</v>
      </c>
    </row>
    <row r="11" spans="1:7" x14ac:dyDescent="0.35">
      <c r="A11" s="28">
        <v>41487</v>
      </c>
      <c r="B11" s="1">
        <v>113.40000000000002</v>
      </c>
      <c r="C11" s="1">
        <v>108.9</v>
      </c>
      <c r="D11" s="1">
        <v>109.7</v>
      </c>
      <c r="E11" s="1">
        <v>107.5</v>
      </c>
      <c r="F11" s="1">
        <v>108</v>
      </c>
      <c r="G11" s="1">
        <v>109.9</v>
      </c>
    </row>
    <row r="12" spans="1:7" x14ac:dyDescent="0.35">
      <c r="A12" s="28">
        <v>41518</v>
      </c>
      <c r="B12" s="1">
        <v>114.44999999999999</v>
      </c>
      <c r="C12" s="1">
        <v>109.7</v>
      </c>
      <c r="D12" s="1">
        <v>110.5</v>
      </c>
      <c r="E12" s="1">
        <v>108.1</v>
      </c>
      <c r="F12" s="1">
        <v>109.9</v>
      </c>
      <c r="G12" s="1">
        <v>110.6</v>
      </c>
    </row>
    <row r="13" spans="1:7" x14ac:dyDescent="0.35">
      <c r="A13" s="28">
        <v>41548</v>
      </c>
      <c r="B13" s="1">
        <v>115.83333333333336</v>
      </c>
      <c r="C13" s="1">
        <v>110.5</v>
      </c>
      <c r="D13" s="1">
        <v>110.9</v>
      </c>
      <c r="E13" s="1">
        <v>108.6</v>
      </c>
      <c r="F13" s="1">
        <v>109.5</v>
      </c>
      <c r="G13" s="1">
        <v>110.8</v>
      </c>
    </row>
    <row r="14" spans="1:7" x14ac:dyDescent="0.35">
      <c r="A14" s="28">
        <v>41579</v>
      </c>
      <c r="B14" s="1">
        <v>118.01666666666667</v>
      </c>
      <c r="C14" s="1">
        <v>111.1</v>
      </c>
      <c r="D14" s="1">
        <v>111.6</v>
      </c>
      <c r="E14" s="1">
        <v>109.3</v>
      </c>
      <c r="F14" s="1">
        <v>109.5</v>
      </c>
      <c r="G14" s="1">
        <v>111.2</v>
      </c>
    </row>
    <row r="15" spans="1:7" x14ac:dyDescent="0.35">
      <c r="A15" s="28">
        <v>41609</v>
      </c>
      <c r="B15" s="1">
        <v>115.74166666666667</v>
      </c>
      <c r="C15" s="1">
        <v>110.7</v>
      </c>
      <c r="D15" s="1">
        <v>111.9</v>
      </c>
      <c r="E15" s="1">
        <v>109.7</v>
      </c>
      <c r="F15" s="1">
        <v>109.8</v>
      </c>
      <c r="G15" s="1">
        <v>111.5</v>
      </c>
    </row>
    <row r="16" spans="1:7" x14ac:dyDescent="0.35">
      <c r="A16" s="28">
        <v>41640</v>
      </c>
      <c r="B16" s="1">
        <v>114.16666666666664</v>
      </c>
      <c r="C16" s="1">
        <v>111.6</v>
      </c>
      <c r="D16" s="1">
        <v>112.2</v>
      </c>
      <c r="E16" s="1">
        <v>110.3</v>
      </c>
      <c r="F16" s="1">
        <v>110.7</v>
      </c>
      <c r="G16" s="1">
        <v>111.6</v>
      </c>
    </row>
    <row r="17" spans="1:7" x14ac:dyDescent="0.35">
      <c r="A17" s="28">
        <v>41671</v>
      </c>
      <c r="B17" s="1">
        <v>113.73333333333333</v>
      </c>
      <c r="C17" s="1">
        <v>112.5</v>
      </c>
      <c r="D17" s="1">
        <v>112.4</v>
      </c>
      <c r="E17" s="1">
        <v>110.7</v>
      </c>
      <c r="F17" s="1">
        <v>111.1</v>
      </c>
      <c r="G17" s="1">
        <v>111.8</v>
      </c>
    </row>
    <row r="18" spans="1:7" x14ac:dyDescent="0.35">
      <c r="A18" s="28">
        <v>41699</v>
      </c>
      <c r="B18" s="1">
        <v>114.34999999999998</v>
      </c>
      <c r="C18" s="1">
        <v>113.2</v>
      </c>
      <c r="D18" s="1">
        <v>112.5</v>
      </c>
      <c r="E18" s="1">
        <v>111.2</v>
      </c>
      <c r="F18" s="1">
        <v>111.4</v>
      </c>
      <c r="G18" s="1">
        <v>112</v>
      </c>
    </row>
    <row r="19" spans="1:7" x14ac:dyDescent="0.35">
      <c r="A19" s="28">
        <v>41730</v>
      </c>
      <c r="B19" s="1">
        <v>115.54166666666667</v>
      </c>
      <c r="C19" s="1">
        <v>113.9</v>
      </c>
      <c r="D19" s="1">
        <v>112.5</v>
      </c>
      <c r="E19" s="1">
        <v>111.5</v>
      </c>
      <c r="F19" s="1">
        <v>111.2</v>
      </c>
      <c r="G19" s="1">
        <v>112.7</v>
      </c>
    </row>
    <row r="20" spans="1:7" x14ac:dyDescent="0.35">
      <c r="A20" s="28">
        <v>41760</v>
      </c>
      <c r="B20" s="1">
        <v>116.63333333333337</v>
      </c>
      <c r="C20" s="1">
        <v>114.3</v>
      </c>
      <c r="D20" s="1">
        <v>112.5</v>
      </c>
      <c r="E20" s="1">
        <v>111.8</v>
      </c>
      <c r="F20" s="1">
        <v>111.3</v>
      </c>
      <c r="G20" s="1">
        <v>113</v>
      </c>
    </row>
    <row r="21" spans="1:7" x14ac:dyDescent="0.35">
      <c r="A21" s="28">
        <v>41791</v>
      </c>
      <c r="B21" s="1">
        <v>117.77500000000002</v>
      </c>
      <c r="C21" s="1">
        <v>113.9</v>
      </c>
      <c r="D21" s="1">
        <v>113.2</v>
      </c>
      <c r="E21" s="1">
        <v>112.3</v>
      </c>
      <c r="F21" s="1">
        <v>111.8</v>
      </c>
      <c r="G21" s="1">
        <v>114.8</v>
      </c>
    </row>
    <row r="22" spans="1:7" x14ac:dyDescent="0.35">
      <c r="A22" s="28">
        <v>41821</v>
      </c>
      <c r="B22" s="1">
        <v>120.96666666666665</v>
      </c>
      <c r="C22" s="1">
        <v>114.8</v>
      </c>
      <c r="D22" s="1">
        <v>113.9</v>
      </c>
      <c r="E22" s="1">
        <v>112.7</v>
      </c>
      <c r="F22" s="1">
        <v>113.1</v>
      </c>
      <c r="G22" s="1">
        <v>116.8</v>
      </c>
    </row>
    <row r="23" spans="1:7" x14ac:dyDescent="0.35">
      <c r="A23" s="28">
        <v>41852</v>
      </c>
      <c r="B23" s="1">
        <v>122.32499999999999</v>
      </c>
      <c r="C23" s="1">
        <v>115.5</v>
      </c>
      <c r="D23" s="1">
        <v>114</v>
      </c>
      <c r="E23" s="1">
        <v>113.3</v>
      </c>
      <c r="F23" s="1">
        <v>112.8</v>
      </c>
      <c r="G23" s="1">
        <v>118</v>
      </c>
    </row>
    <row r="24" spans="1:7" x14ac:dyDescent="0.35">
      <c r="A24" s="28">
        <v>41883</v>
      </c>
      <c r="B24" s="1">
        <v>121.69166666666665</v>
      </c>
      <c r="C24" s="1">
        <v>116.1</v>
      </c>
      <c r="D24" s="1">
        <v>114.3</v>
      </c>
      <c r="E24" s="1">
        <v>113.7</v>
      </c>
      <c r="F24" s="1">
        <v>112</v>
      </c>
      <c r="G24" s="1">
        <v>118.6</v>
      </c>
    </row>
    <row r="25" spans="1:7" x14ac:dyDescent="0.35">
      <c r="A25" s="28">
        <v>41913</v>
      </c>
      <c r="B25" s="1">
        <v>121.44166666666666</v>
      </c>
      <c r="C25" s="1">
        <v>116.7</v>
      </c>
      <c r="D25" s="1">
        <v>114.7</v>
      </c>
      <c r="E25" s="1">
        <v>114.3</v>
      </c>
      <c r="F25" s="1">
        <v>111.8</v>
      </c>
      <c r="G25" s="1">
        <v>118.8</v>
      </c>
    </row>
    <row r="26" spans="1:7" x14ac:dyDescent="0.35">
      <c r="A26" s="28">
        <v>41944</v>
      </c>
      <c r="B26" s="1">
        <v>121.50833333333334</v>
      </c>
      <c r="C26" s="1">
        <v>117.1</v>
      </c>
      <c r="D26" s="1">
        <v>115.5</v>
      </c>
      <c r="E26" s="1">
        <v>114.8</v>
      </c>
      <c r="F26" s="1">
        <v>110.8</v>
      </c>
      <c r="G26" s="1">
        <v>119</v>
      </c>
    </row>
    <row r="27" spans="1:7" x14ac:dyDescent="0.35">
      <c r="A27" s="28">
        <v>41974</v>
      </c>
      <c r="B27" s="1">
        <v>120.675</v>
      </c>
      <c r="C27" s="1">
        <v>116.5</v>
      </c>
      <c r="D27" s="1">
        <v>115.7</v>
      </c>
      <c r="E27" s="1">
        <v>115.1</v>
      </c>
      <c r="F27" s="1">
        <v>110.1</v>
      </c>
      <c r="G27" s="1">
        <v>119.5</v>
      </c>
    </row>
    <row r="28" spans="1:7" x14ac:dyDescent="0.35">
      <c r="A28" s="28">
        <v>42005</v>
      </c>
      <c r="B28" s="1">
        <v>120.51666666666667</v>
      </c>
      <c r="C28" s="1">
        <v>117.3</v>
      </c>
      <c r="D28" s="1">
        <v>116.5</v>
      </c>
      <c r="E28" s="1">
        <v>115.5</v>
      </c>
      <c r="F28" s="1">
        <v>109.4</v>
      </c>
      <c r="G28" s="1">
        <v>119.7</v>
      </c>
    </row>
    <row r="29" spans="1:7" x14ac:dyDescent="0.35">
      <c r="A29" s="28">
        <v>42036</v>
      </c>
      <c r="B29" s="1">
        <v>120.52499999999998</v>
      </c>
      <c r="C29" s="1">
        <v>118.1</v>
      </c>
      <c r="D29" s="1">
        <v>117.7</v>
      </c>
      <c r="E29" s="1">
        <v>116.3</v>
      </c>
      <c r="F29" s="1">
        <v>108.7</v>
      </c>
      <c r="G29" s="1">
        <v>119.7</v>
      </c>
    </row>
    <row r="30" spans="1:7" x14ac:dyDescent="0.35">
      <c r="A30" s="28">
        <v>42064</v>
      </c>
      <c r="B30" s="1">
        <v>120.47499999999998</v>
      </c>
      <c r="C30" s="1">
        <v>118.6</v>
      </c>
      <c r="D30" s="1">
        <v>118.3</v>
      </c>
      <c r="E30" s="1">
        <v>116.7</v>
      </c>
      <c r="F30" s="1">
        <v>109.9</v>
      </c>
      <c r="G30" s="1">
        <v>120.1</v>
      </c>
    </row>
    <row r="31" spans="1:7" x14ac:dyDescent="0.35">
      <c r="A31" s="28">
        <v>42095</v>
      </c>
      <c r="B31" s="1">
        <v>120.97500000000001</v>
      </c>
      <c r="C31" s="1">
        <v>119.2</v>
      </c>
      <c r="D31" s="1">
        <v>118.7</v>
      </c>
      <c r="E31" s="1">
        <v>117.1</v>
      </c>
      <c r="F31" s="1">
        <v>110.1</v>
      </c>
      <c r="G31" s="1">
        <v>121</v>
      </c>
    </row>
    <row r="32" spans="1:7" x14ac:dyDescent="0.35">
      <c r="A32" s="28">
        <v>42125</v>
      </c>
      <c r="B32" s="1">
        <v>122.11666666666667</v>
      </c>
      <c r="C32" s="1">
        <v>119.6</v>
      </c>
      <c r="D32" s="1">
        <v>119.2</v>
      </c>
      <c r="E32" s="1">
        <v>117.7</v>
      </c>
      <c r="F32" s="1">
        <v>112</v>
      </c>
      <c r="G32" s="1">
        <v>121.4</v>
      </c>
    </row>
    <row r="33" spans="1:7" x14ac:dyDescent="0.35">
      <c r="A33" s="28">
        <v>42156</v>
      </c>
      <c r="B33" s="1">
        <v>124.68333333333334</v>
      </c>
      <c r="C33" s="1">
        <v>119</v>
      </c>
      <c r="D33" s="1">
        <v>119.8</v>
      </c>
      <c r="E33" s="1">
        <v>118.5</v>
      </c>
      <c r="F33" s="1">
        <v>112.9</v>
      </c>
      <c r="G33" s="1">
        <v>123.1</v>
      </c>
    </row>
    <row r="34" spans="1:7" x14ac:dyDescent="0.35">
      <c r="A34" s="28">
        <v>42186</v>
      </c>
      <c r="B34" s="1">
        <v>125.2</v>
      </c>
      <c r="C34" s="1">
        <v>119.9</v>
      </c>
      <c r="D34" s="1">
        <v>120.1</v>
      </c>
      <c r="E34" s="1">
        <v>119</v>
      </c>
      <c r="F34" s="1">
        <v>112.7</v>
      </c>
      <c r="G34" s="1">
        <v>124.4</v>
      </c>
    </row>
    <row r="35" spans="1:7" x14ac:dyDescent="0.35">
      <c r="A35" s="28">
        <v>42217</v>
      </c>
      <c r="B35" s="1">
        <v>126.60833333333333</v>
      </c>
      <c r="C35" s="1">
        <v>120.9</v>
      </c>
      <c r="D35" s="1">
        <v>120.6</v>
      </c>
      <c r="E35" s="1">
        <v>119.4</v>
      </c>
      <c r="F35" s="1">
        <v>111.7</v>
      </c>
      <c r="G35" s="1">
        <v>125.1</v>
      </c>
    </row>
    <row r="36" spans="1:7" x14ac:dyDescent="0.35">
      <c r="A36" s="28">
        <v>42248</v>
      </c>
      <c r="B36" s="1">
        <v>127.25833333333334</v>
      </c>
      <c r="C36" s="1">
        <v>121.6</v>
      </c>
      <c r="D36" s="1">
        <v>120.4</v>
      </c>
      <c r="E36" s="1">
        <v>119.8</v>
      </c>
      <c r="F36" s="1">
        <v>111.3</v>
      </c>
      <c r="G36" s="1">
        <v>125.7</v>
      </c>
    </row>
    <row r="37" spans="1:7" x14ac:dyDescent="0.35">
      <c r="A37" s="28">
        <v>42278</v>
      </c>
      <c r="B37" s="1">
        <v>128.90833333333333</v>
      </c>
      <c r="C37" s="1">
        <v>122.4</v>
      </c>
      <c r="D37" s="1">
        <v>120.8</v>
      </c>
      <c r="E37" s="1">
        <v>120.4</v>
      </c>
      <c r="F37" s="1">
        <v>111.4</v>
      </c>
      <c r="G37" s="1">
        <v>125.9</v>
      </c>
    </row>
    <row r="38" spans="1:7" x14ac:dyDescent="0.35">
      <c r="A38" s="28">
        <v>42309</v>
      </c>
      <c r="B38" s="1">
        <v>129.94999999999999</v>
      </c>
      <c r="C38" s="1">
        <v>122.9</v>
      </c>
      <c r="D38" s="1">
        <v>121.6</v>
      </c>
      <c r="E38" s="1">
        <v>120.9</v>
      </c>
      <c r="F38" s="1">
        <v>111.5</v>
      </c>
      <c r="G38" s="1">
        <v>126.3</v>
      </c>
    </row>
    <row r="39" spans="1:7" x14ac:dyDescent="0.35">
      <c r="A39" s="28">
        <v>42339</v>
      </c>
      <c r="B39" s="1">
        <v>129.55833333333334</v>
      </c>
      <c r="C39" s="1">
        <v>122.4</v>
      </c>
      <c r="D39" s="1">
        <v>122</v>
      </c>
      <c r="E39" s="1">
        <v>121.4</v>
      </c>
      <c r="F39" s="1">
        <v>111.5</v>
      </c>
      <c r="G39" s="1">
        <v>126.2</v>
      </c>
    </row>
    <row r="40" spans="1:7" x14ac:dyDescent="0.35">
      <c r="A40" s="28">
        <v>42370</v>
      </c>
      <c r="B40" s="1">
        <v>130.03333333333333</v>
      </c>
      <c r="C40" s="1">
        <v>123.4</v>
      </c>
      <c r="D40" s="1">
        <v>122.7</v>
      </c>
      <c r="E40" s="1">
        <v>122</v>
      </c>
      <c r="F40" s="1">
        <v>111.1</v>
      </c>
      <c r="G40" s="1">
        <v>126.3</v>
      </c>
    </row>
    <row r="41" spans="1:7" x14ac:dyDescent="0.35">
      <c r="A41" s="28">
        <v>42401</v>
      </c>
      <c r="B41" s="1">
        <v>129.01666666666665</v>
      </c>
      <c r="C41" s="1">
        <v>124.4</v>
      </c>
      <c r="D41" s="1">
        <v>123.1</v>
      </c>
      <c r="E41" s="1">
        <v>122.5</v>
      </c>
      <c r="F41" s="1">
        <v>111.4</v>
      </c>
      <c r="G41" s="1">
        <v>126.6</v>
      </c>
    </row>
    <row r="42" spans="1:7" x14ac:dyDescent="0.35">
      <c r="A42" s="28">
        <v>42430</v>
      </c>
      <c r="B42" s="1">
        <v>128.78333333333333</v>
      </c>
      <c r="C42" s="1">
        <v>124.9</v>
      </c>
      <c r="D42" s="1">
        <v>122.4</v>
      </c>
      <c r="E42" s="1">
        <v>122.9</v>
      </c>
      <c r="F42" s="1">
        <v>110.9</v>
      </c>
      <c r="G42" s="1">
        <v>126.9</v>
      </c>
    </row>
    <row r="43" spans="1:7" x14ac:dyDescent="0.35">
      <c r="A43" s="28">
        <v>42461</v>
      </c>
      <c r="B43" s="1">
        <v>130.79166666666666</v>
      </c>
      <c r="C43" s="1">
        <v>125.6</v>
      </c>
      <c r="D43" s="1">
        <v>122.3</v>
      </c>
      <c r="E43" s="1">
        <v>123.2</v>
      </c>
      <c r="F43" s="1">
        <v>112.1</v>
      </c>
      <c r="G43" s="1">
        <v>127.7</v>
      </c>
    </row>
    <row r="44" spans="1:7" x14ac:dyDescent="0.35">
      <c r="A44" s="28">
        <v>42491</v>
      </c>
      <c r="B44" s="1">
        <v>133.03333333333333</v>
      </c>
      <c r="C44" s="1">
        <v>126</v>
      </c>
      <c r="D44" s="1">
        <v>122.7</v>
      </c>
      <c r="E44" s="1">
        <v>123.7</v>
      </c>
      <c r="F44" s="1">
        <v>112.8</v>
      </c>
      <c r="G44" s="1">
        <v>128.5</v>
      </c>
    </row>
    <row r="45" spans="1:7" x14ac:dyDescent="0.35">
      <c r="A45" s="28">
        <v>42522</v>
      </c>
      <c r="B45" s="1">
        <v>135.31666666666666</v>
      </c>
      <c r="C45" s="1">
        <v>125.5</v>
      </c>
      <c r="D45" s="1">
        <v>123.3</v>
      </c>
      <c r="E45" s="1">
        <v>124.1</v>
      </c>
      <c r="F45" s="1">
        <v>114.2</v>
      </c>
      <c r="G45" s="1">
        <v>129.69999999999999</v>
      </c>
    </row>
    <row r="46" spans="1:7" x14ac:dyDescent="0.35">
      <c r="A46" s="28">
        <v>42552</v>
      </c>
      <c r="B46" s="1">
        <v>137.09166666666667</v>
      </c>
      <c r="C46" s="1">
        <v>126.4</v>
      </c>
      <c r="D46" s="1">
        <v>123.4</v>
      </c>
      <c r="E46" s="1">
        <v>124.5</v>
      </c>
      <c r="F46" s="1">
        <v>113.9</v>
      </c>
      <c r="G46" s="1">
        <v>130.80000000000001</v>
      </c>
    </row>
    <row r="47" spans="1:7" x14ac:dyDescent="0.35">
      <c r="A47" s="28">
        <v>42583</v>
      </c>
      <c r="B47" s="1">
        <v>136.66666666666666</v>
      </c>
      <c r="C47" s="1">
        <v>127.3</v>
      </c>
      <c r="D47" s="1">
        <v>123.6</v>
      </c>
      <c r="E47" s="1">
        <v>124.8</v>
      </c>
      <c r="F47" s="1">
        <v>113.1</v>
      </c>
      <c r="G47" s="1">
        <v>131.69999999999999</v>
      </c>
    </row>
    <row r="48" spans="1:7" x14ac:dyDescent="0.35">
      <c r="A48" s="28">
        <v>42614</v>
      </c>
      <c r="B48" s="1">
        <v>135.59166666666667</v>
      </c>
      <c r="C48" s="1">
        <v>127.9</v>
      </c>
      <c r="D48" s="1">
        <v>124.1</v>
      </c>
      <c r="E48" s="1">
        <v>125.4</v>
      </c>
      <c r="F48" s="1">
        <v>114.3</v>
      </c>
      <c r="G48" s="1">
        <v>131.80000000000001</v>
      </c>
    </row>
    <row r="49" spans="1:7" x14ac:dyDescent="0.35">
      <c r="A49" s="28">
        <v>42644</v>
      </c>
      <c r="B49" s="1">
        <v>135.81666666666663</v>
      </c>
      <c r="C49" s="1">
        <v>128.69999999999999</v>
      </c>
      <c r="D49" s="1">
        <v>124.3</v>
      </c>
      <c r="E49" s="1">
        <v>126.1</v>
      </c>
      <c r="F49" s="1">
        <v>115.2</v>
      </c>
      <c r="G49" s="1">
        <v>132.4</v>
      </c>
    </row>
    <row r="50" spans="1:7" x14ac:dyDescent="0.35">
      <c r="A50" s="28">
        <v>42675</v>
      </c>
      <c r="B50" s="1">
        <v>135.30833333333334</v>
      </c>
      <c r="C50" s="1">
        <v>129.1</v>
      </c>
      <c r="D50" s="1">
        <v>125</v>
      </c>
      <c r="E50" s="1">
        <v>126.4</v>
      </c>
      <c r="F50" s="1">
        <v>115.7</v>
      </c>
      <c r="G50" s="1">
        <v>132.80000000000001</v>
      </c>
    </row>
    <row r="51" spans="1:7" x14ac:dyDescent="0.35">
      <c r="A51" s="28">
        <v>42705</v>
      </c>
      <c r="B51" s="1">
        <v>133.89166666666668</v>
      </c>
      <c r="C51" s="1">
        <v>128.5</v>
      </c>
      <c r="D51" s="1">
        <v>126.6</v>
      </c>
      <c r="E51" s="1">
        <v>126.9</v>
      </c>
      <c r="F51" s="1">
        <v>116</v>
      </c>
      <c r="G51" s="1">
        <v>133.1</v>
      </c>
    </row>
    <row r="52" spans="1:7" x14ac:dyDescent="0.35">
      <c r="A52" s="28">
        <v>42736</v>
      </c>
      <c r="B52" s="1">
        <v>132.84999999999997</v>
      </c>
      <c r="C52" s="1">
        <v>129.6</v>
      </c>
      <c r="D52" s="1">
        <v>126.8</v>
      </c>
      <c r="E52" s="1">
        <v>127.1</v>
      </c>
      <c r="F52" s="1">
        <v>117</v>
      </c>
      <c r="G52" s="1">
        <v>133.30000000000001</v>
      </c>
    </row>
    <row r="53" spans="1:7" x14ac:dyDescent="0.35">
      <c r="A53" s="28">
        <v>42767</v>
      </c>
      <c r="B53" s="1">
        <v>132.44166666666669</v>
      </c>
      <c r="C53" s="1">
        <v>130.5</v>
      </c>
      <c r="D53" s="1">
        <v>127.9</v>
      </c>
      <c r="E53" s="1">
        <v>127.4</v>
      </c>
      <c r="F53" s="1">
        <v>117.4</v>
      </c>
      <c r="G53" s="1">
        <v>133.4</v>
      </c>
    </row>
    <row r="54" spans="1:7" x14ac:dyDescent="0.35">
      <c r="A54" s="28">
        <v>42795</v>
      </c>
      <c r="B54" s="1">
        <v>132.15</v>
      </c>
      <c r="C54" s="1">
        <v>131.1</v>
      </c>
      <c r="D54" s="1">
        <v>129.1</v>
      </c>
      <c r="E54" s="1">
        <v>127.8</v>
      </c>
      <c r="F54" s="1">
        <v>117.6</v>
      </c>
      <c r="G54" s="1">
        <v>133.80000000000001</v>
      </c>
    </row>
    <row r="55" spans="1:7" x14ac:dyDescent="0.35">
      <c r="A55" s="28">
        <v>42826</v>
      </c>
      <c r="B55" s="1">
        <v>132.07500000000002</v>
      </c>
      <c r="C55" s="1">
        <v>131.69999999999999</v>
      </c>
      <c r="D55" s="1">
        <v>129.80000000000001</v>
      </c>
      <c r="E55" s="1">
        <v>128.1</v>
      </c>
      <c r="F55" s="1">
        <v>116.6</v>
      </c>
      <c r="G55" s="1">
        <v>134.5</v>
      </c>
    </row>
    <row r="56" spans="1:7" x14ac:dyDescent="0.35">
      <c r="A56" s="28">
        <v>42856</v>
      </c>
      <c r="B56" s="1">
        <v>132.15833333333333</v>
      </c>
      <c r="C56" s="1">
        <v>132.1</v>
      </c>
      <c r="D56" s="1">
        <v>129.4</v>
      </c>
      <c r="E56" s="1">
        <v>128.4</v>
      </c>
      <c r="F56" s="1">
        <v>116.7</v>
      </c>
      <c r="G56" s="1">
        <v>134.80000000000001</v>
      </c>
    </row>
    <row r="57" spans="1:7" x14ac:dyDescent="0.35">
      <c r="A57" s="28">
        <v>42887</v>
      </c>
      <c r="B57" s="1">
        <v>133.29166666666666</v>
      </c>
      <c r="C57" s="1">
        <v>131.4</v>
      </c>
      <c r="D57" s="1">
        <v>128.80000000000001</v>
      </c>
      <c r="E57" s="1">
        <v>128.5</v>
      </c>
      <c r="F57" s="1">
        <v>116.5</v>
      </c>
      <c r="G57" s="1">
        <v>135.4</v>
      </c>
    </row>
    <row r="58" spans="1:7" x14ac:dyDescent="0.35">
      <c r="A58" s="28">
        <v>42917</v>
      </c>
      <c r="B58" s="1">
        <v>135.86666666666665</v>
      </c>
      <c r="C58" s="1">
        <v>132.6</v>
      </c>
      <c r="D58" s="1">
        <v>129.4</v>
      </c>
      <c r="E58" s="1">
        <v>129.4</v>
      </c>
      <c r="F58" s="1">
        <v>116</v>
      </c>
      <c r="G58" s="1">
        <v>136.80000000000001</v>
      </c>
    </row>
    <row r="59" spans="1:7" x14ac:dyDescent="0.35">
      <c r="A59" s="28">
        <v>42948</v>
      </c>
      <c r="B59" s="1">
        <v>136.93333333333334</v>
      </c>
      <c r="C59" s="1">
        <v>134.4</v>
      </c>
      <c r="D59" s="1">
        <v>129.80000000000001</v>
      </c>
      <c r="E59" s="1">
        <v>130.19999999999999</v>
      </c>
      <c r="F59" s="1">
        <v>117.3</v>
      </c>
      <c r="G59" s="1">
        <v>137.6</v>
      </c>
    </row>
    <row r="60" spans="1:7" x14ac:dyDescent="0.35">
      <c r="A60" s="28">
        <v>42979</v>
      </c>
      <c r="B60" s="1">
        <v>135.91666666666666</v>
      </c>
      <c r="C60" s="1">
        <v>135.69999999999999</v>
      </c>
      <c r="D60" s="1">
        <v>131</v>
      </c>
      <c r="E60" s="1">
        <v>130.6</v>
      </c>
      <c r="F60" s="1">
        <v>118.3</v>
      </c>
      <c r="G60" s="1">
        <v>137.4</v>
      </c>
    </row>
    <row r="61" spans="1:7" x14ac:dyDescent="0.35">
      <c r="A61" s="28">
        <v>43009</v>
      </c>
      <c r="B61" s="1">
        <v>136.63333333333333</v>
      </c>
      <c r="C61" s="1">
        <v>137.30000000000001</v>
      </c>
      <c r="D61" s="1">
        <v>132.19999999999999</v>
      </c>
      <c r="E61" s="1">
        <v>131.30000000000001</v>
      </c>
      <c r="F61" s="1">
        <v>117.8</v>
      </c>
      <c r="G61" s="1">
        <v>137.9</v>
      </c>
    </row>
    <row r="62" spans="1:7" x14ac:dyDescent="0.35">
      <c r="A62" s="28">
        <v>43040</v>
      </c>
      <c r="B62" s="1">
        <v>138.84166666666667</v>
      </c>
      <c r="C62" s="1">
        <v>138.6</v>
      </c>
      <c r="D62" s="1">
        <v>135.30000000000001</v>
      </c>
      <c r="E62" s="1">
        <v>132.6</v>
      </c>
      <c r="F62" s="1">
        <v>118.3</v>
      </c>
      <c r="G62" s="1">
        <v>138.6</v>
      </c>
    </row>
    <row r="63" spans="1:7" x14ac:dyDescent="0.35">
      <c r="A63" s="28">
        <v>43070</v>
      </c>
      <c r="B63" s="1">
        <v>137.87499999999997</v>
      </c>
      <c r="C63" s="1">
        <v>139.1</v>
      </c>
      <c r="D63" s="1">
        <v>136.6</v>
      </c>
      <c r="E63" s="1">
        <v>133.1</v>
      </c>
      <c r="F63" s="1">
        <v>118.5</v>
      </c>
      <c r="G63" s="1">
        <v>138.5</v>
      </c>
    </row>
    <row r="64" spans="1:7" x14ac:dyDescent="0.35">
      <c r="A64" s="28">
        <v>43101</v>
      </c>
      <c r="B64" s="1">
        <v>136.72499999999999</v>
      </c>
      <c r="C64" s="1">
        <v>140.4</v>
      </c>
      <c r="D64" s="1">
        <v>136.6</v>
      </c>
      <c r="E64" s="1">
        <v>133.30000000000001</v>
      </c>
      <c r="F64" s="1">
        <v>119.3</v>
      </c>
      <c r="G64" s="1">
        <v>139</v>
      </c>
    </row>
    <row r="65" spans="1:7" x14ac:dyDescent="0.35">
      <c r="A65" s="28">
        <v>43132</v>
      </c>
      <c r="B65" s="1">
        <v>135.23333333333332</v>
      </c>
      <c r="C65" s="1">
        <v>141.30000000000001</v>
      </c>
      <c r="D65" s="1">
        <v>136.69999999999999</v>
      </c>
      <c r="E65" s="1">
        <v>133.80000000000001</v>
      </c>
      <c r="F65" s="1">
        <v>120.2</v>
      </c>
      <c r="G65" s="1">
        <v>139</v>
      </c>
    </row>
    <row r="66" spans="1:7" x14ac:dyDescent="0.35">
      <c r="A66" s="28">
        <v>43160</v>
      </c>
      <c r="B66" s="1">
        <v>134.9</v>
      </c>
      <c r="C66" s="1">
        <v>142</v>
      </c>
      <c r="D66" s="1">
        <v>136.5</v>
      </c>
      <c r="E66" s="1">
        <v>134.30000000000001</v>
      </c>
      <c r="F66" s="1">
        <v>121</v>
      </c>
      <c r="G66" s="1">
        <v>139.80000000000001</v>
      </c>
    </row>
    <row r="67" spans="1:7" x14ac:dyDescent="0.35">
      <c r="A67" s="28">
        <v>43191</v>
      </c>
      <c r="B67" s="1">
        <v>134.96666666666667</v>
      </c>
      <c r="C67" s="1">
        <v>142.9</v>
      </c>
      <c r="D67" s="1">
        <v>136.5</v>
      </c>
      <c r="E67" s="1">
        <v>135.19999999999999</v>
      </c>
      <c r="F67" s="1">
        <v>121.9</v>
      </c>
      <c r="G67" s="1">
        <v>141.4</v>
      </c>
    </row>
    <row r="68" spans="1:7" x14ac:dyDescent="0.35">
      <c r="A68" s="28">
        <v>43221</v>
      </c>
      <c r="B68" s="1">
        <v>135.14166666666668</v>
      </c>
      <c r="C68" s="1">
        <v>143.19999999999999</v>
      </c>
      <c r="D68" s="1">
        <v>136.9</v>
      </c>
      <c r="E68" s="1">
        <v>136</v>
      </c>
      <c r="F68" s="1">
        <v>122.9</v>
      </c>
      <c r="G68" s="1">
        <v>142.1</v>
      </c>
    </row>
    <row r="69" spans="1:7" x14ac:dyDescent="0.35">
      <c r="A69" s="28">
        <v>43252</v>
      </c>
      <c r="B69" s="1">
        <v>136.22499999999999</v>
      </c>
      <c r="C69" s="1">
        <v>142.5</v>
      </c>
      <c r="D69" s="1">
        <v>138.1</v>
      </c>
      <c r="E69" s="1">
        <v>136.19999999999999</v>
      </c>
      <c r="F69" s="1">
        <v>123.7</v>
      </c>
      <c r="G69" s="1">
        <v>142.80000000000001</v>
      </c>
    </row>
    <row r="70" spans="1:7" x14ac:dyDescent="0.35">
      <c r="A70" s="28">
        <v>43282</v>
      </c>
      <c r="B70" s="1">
        <v>137.82499999999999</v>
      </c>
      <c r="C70" s="1">
        <v>143.6</v>
      </c>
      <c r="D70" s="1">
        <v>139.69999999999999</v>
      </c>
      <c r="E70" s="1">
        <v>137</v>
      </c>
      <c r="F70" s="1">
        <v>123.6</v>
      </c>
      <c r="G70" s="1">
        <v>144.69999999999999</v>
      </c>
    </row>
    <row r="71" spans="1:7" x14ac:dyDescent="0.35">
      <c r="A71" s="28">
        <v>43313</v>
      </c>
      <c r="B71" s="1">
        <v>138.08333333333334</v>
      </c>
      <c r="C71" s="1">
        <v>144.6</v>
      </c>
      <c r="D71" s="1">
        <v>140.9</v>
      </c>
      <c r="E71" s="1">
        <v>137.69999999999999</v>
      </c>
      <c r="F71" s="1">
        <v>124.3</v>
      </c>
      <c r="G71" s="1">
        <v>146</v>
      </c>
    </row>
    <row r="72" spans="1:7" x14ac:dyDescent="0.35">
      <c r="A72" s="28">
        <v>43344</v>
      </c>
      <c r="B72" s="1">
        <v>136.59166666666667</v>
      </c>
      <c r="C72" s="1">
        <v>145.30000000000001</v>
      </c>
      <c r="D72" s="1">
        <v>142.30000000000001</v>
      </c>
      <c r="E72" s="1">
        <v>138.4</v>
      </c>
      <c r="F72" s="1">
        <v>126</v>
      </c>
      <c r="G72" s="1">
        <v>146.19999999999999</v>
      </c>
    </row>
    <row r="73" spans="1:7" x14ac:dyDescent="0.35">
      <c r="A73" s="28">
        <v>43374</v>
      </c>
      <c r="B73" s="1">
        <v>136.375</v>
      </c>
      <c r="C73" s="1">
        <v>146.9</v>
      </c>
      <c r="D73" s="1">
        <v>145.30000000000001</v>
      </c>
      <c r="E73" s="1">
        <v>142.1</v>
      </c>
      <c r="F73" s="1">
        <v>125.5</v>
      </c>
      <c r="G73" s="1">
        <v>147.80000000000001</v>
      </c>
    </row>
    <row r="74" spans="1:7" x14ac:dyDescent="0.35">
      <c r="A74" s="28">
        <v>43405</v>
      </c>
      <c r="B74" s="1">
        <v>136.33333333333334</v>
      </c>
      <c r="C74" s="1">
        <v>146.9</v>
      </c>
      <c r="D74" s="1">
        <v>145.1</v>
      </c>
      <c r="E74" s="1">
        <v>142.1</v>
      </c>
      <c r="F74" s="1">
        <v>125.5</v>
      </c>
      <c r="G74" s="1">
        <v>147.80000000000001</v>
      </c>
    </row>
    <row r="75" spans="1:7" x14ac:dyDescent="0.35">
      <c r="A75" s="28">
        <v>43435</v>
      </c>
      <c r="B75" s="1">
        <v>135.3833333333333</v>
      </c>
      <c r="C75" s="1">
        <v>146.5</v>
      </c>
      <c r="D75" s="1">
        <v>142.69999999999999</v>
      </c>
      <c r="E75" s="1">
        <v>144.9</v>
      </c>
      <c r="F75" s="1">
        <v>123.6</v>
      </c>
      <c r="G75" s="1">
        <v>150.1</v>
      </c>
    </row>
    <row r="76" spans="1:7" x14ac:dyDescent="0.35">
      <c r="A76" s="28">
        <v>43466</v>
      </c>
      <c r="B76" s="1">
        <v>134.66666666666666</v>
      </c>
      <c r="C76" s="1">
        <v>147.69999999999999</v>
      </c>
      <c r="D76" s="1">
        <v>139.5</v>
      </c>
      <c r="E76" s="1">
        <v>145.1</v>
      </c>
      <c r="F76" s="1">
        <v>123.3</v>
      </c>
      <c r="G76" s="1">
        <v>150.19999999999999</v>
      </c>
    </row>
    <row r="77" spans="1:7" x14ac:dyDescent="0.35">
      <c r="A77" s="28">
        <v>43497</v>
      </c>
      <c r="B77" s="1">
        <v>134.96666666666667</v>
      </c>
      <c r="C77" s="1">
        <v>148.5</v>
      </c>
      <c r="D77" s="1">
        <v>138.4</v>
      </c>
      <c r="E77" s="1">
        <v>145.6</v>
      </c>
      <c r="F77" s="1">
        <v>123.9</v>
      </c>
      <c r="G77" s="1">
        <v>150.30000000000001</v>
      </c>
    </row>
    <row r="78" spans="1:7" x14ac:dyDescent="0.35">
      <c r="A78" s="28">
        <v>43525</v>
      </c>
      <c r="B78" s="1">
        <v>135.4</v>
      </c>
      <c r="C78" s="1">
        <v>149</v>
      </c>
      <c r="D78" s="1">
        <v>139.69999999999999</v>
      </c>
      <c r="E78" s="1">
        <v>146.19999999999999</v>
      </c>
      <c r="F78" s="1">
        <v>124.6</v>
      </c>
      <c r="G78" s="1">
        <v>150.30000000000001</v>
      </c>
    </row>
    <row r="79" spans="1:7" x14ac:dyDescent="0.35">
      <c r="A79" s="28">
        <v>43586</v>
      </c>
      <c r="B79" s="1">
        <v>137.58333333333334</v>
      </c>
      <c r="C79" s="1">
        <v>150.1</v>
      </c>
      <c r="D79" s="1">
        <v>140.30000000000001</v>
      </c>
      <c r="E79" s="1">
        <v>146.9</v>
      </c>
      <c r="F79" s="1">
        <v>124.9</v>
      </c>
      <c r="G79" s="1">
        <v>151.6</v>
      </c>
    </row>
    <row r="80" spans="1:7" x14ac:dyDescent="0.35">
      <c r="A80" s="28">
        <v>43617</v>
      </c>
      <c r="B80" s="1">
        <v>139.28333333333333</v>
      </c>
      <c r="C80" s="1">
        <v>149.4</v>
      </c>
      <c r="D80" s="1">
        <v>141.19999999999999</v>
      </c>
      <c r="E80" s="1">
        <v>147.4</v>
      </c>
      <c r="F80" s="1">
        <v>124.6</v>
      </c>
      <c r="G80" s="1">
        <v>152.5</v>
      </c>
    </row>
    <row r="81" spans="1:7" x14ac:dyDescent="0.35">
      <c r="A81" s="28">
        <v>43647</v>
      </c>
      <c r="B81" s="1">
        <v>141.06666666666666</v>
      </c>
      <c r="C81" s="1">
        <v>150.6</v>
      </c>
      <c r="D81" s="1">
        <v>139.30000000000001</v>
      </c>
      <c r="E81" s="1">
        <v>147.9</v>
      </c>
      <c r="F81" s="1">
        <v>125.6</v>
      </c>
      <c r="G81" s="1">
        <v>154</v>
      </c>
    </row>
    <row r="82" spans="1:7" x14ac:dyDescent="0.35">
      <c r="A82" s="28">
        <v>43678</v>
      </c>
      <c r="B82" s="1">
        <v>141.71666666666667</v>
      </c>
      <c r="C82" s="1">
        <v>151.6</v>
      </c>
      <c r="D82" s="1">
        <v>138.5</v>
      </c>
      <c r="E82" s="1">
        <v>148.5</v>
      </c>
      <c r="F82" s="1">
        <v>125.8</v>
      </c>
      <c r="G82" s="1">
        <v>154.9</v>
      </c>
    </row>
    <row r="83" spans="1:7" x14ac:dyDescent="0.35">
      <c r="A83" s="28">
        <v>43709</v>
      </c>
      <c r="B83" s="1">
        <v>142.55833333333331</v>
      </c>
      <c r="C83" s="1">
        <v>152.19999999999999</v>
      </c>
      <c r="D83" s="1">
        <v>139.19999999999999</v>
      </c>
      <c r="E83" s="1">
        <v>149</v>
      </c>
      <c r="F83" s="1">
        <v>126.1</v>
      </c>
      <c r="G83" s="1">
        <v>155.19999999999999</v>
      </c>
    </row>
    <row r="84" spans="1:7" x14ac:dyDescent="0.35">
      <c r="A84" s="28">
        <v>43739</v>
      </c>
      <c r="B84" s="1">
        <v>144.66666666666666</v>
      </c>
      <c r="C84" s="1">
        <v>153</v>
      </c>
      <c r="D84" s="1">
        <v>140.6</v>
      </c>
      <c r="E84" s="1">
        <v>149.4</v>
      </c>
      <c r="F84" s="1">
        <v>126.3</v>
      </c>
      <c r="G84" s="1">
        <v>155.4</v>
      </c>
    </row>
    <row r="85" spans="1:7" x14ac:dyDescent="0.35">
      <c r="A85" s="28">
        <v>43770</v>
      </c>
      <c r="B85" s="1">
        <v>146.58333333333334</v>
      </c>
      <c r="C85" s="1">
        <v>153.5</v>
      </c>
      <c r="D85" s="1">
        <v>142.30000000000001</v>
      </c>
      <c r="E85" s="1">
        <v>149.9</v>
      </c>
      <c r="F85" s="1">
        <v>126.6</v>
      </c>
      <c r="G85" s="1">
        <v>155.5</v>
      </c>
    </row>
    <row r="86" spans="1:7" x14ac:dyDescent="0.35">
      <c r="A86" s="28">
        <v>43800</v>
      </c>
      <c r="B86" s="1">
        <v>149.25833333333335</v>
      </c>
      <c r="C86" s="1">
        <v>152.80000000000001</v>
      </c>
      <c r="D86" s="1">
        <v>143.69999999999999</v>
      </c>
      <c r="E86" s="1">
        <v>150.4</v>
      </c>
      <c r="F86" s="1">
        <v>129.80000000000001</v>
      </c>
      <c r="G86" s="1">
        <v>155.69999999999999</v>
      </c>
    </row>
    <row r="87" spans="1:7" x14ac:dyDescent="0.35">
      <c r="A87" s="28">
        <v>43831</v>
      </c>
      <c r="B87" s="1">
        <v>148.90833333333333</v>
      </c>
      <c r="C87" s="1">
        <v>153.9</v>
      </c>
      <c r="D87" s="1">
        <v>144.6</v>
      </c>
      <c r="E87" s="1">
        <v>151.19999999999999</v>
      </c>
      <c r="F87" s="1">
        <v>130.9</v>
      </c>
      <c r="G87" s="1">
        <v>156.1</v>
      </c>
    </row>
    <row r="88" spans="1:7" x14ac:dyDescent="0.35">
      <c r="A88" s="28">
        <v>43862</v>
      </c>
      <c r="B88" s="1">
        <v>146.75833333333333</v>
      </c>
      <c r="C88" s="1">
        <v>154.80000000000001</v>
      </c>
      <c r="D88" s="1">
        <v>147.19999999999999</v>
      </c>
      <c r="E88" s="1">
        <v>151.69999999999999</v>
      </c>
      <c r="F88" s="1">
        <v>130.30000000000001</v>
      </c>
      <c r="G88" s="1">
        <v>156.19999999999999</v>
      </c>
    </row>
    <row r="89" spans="1:7" x14ac:dyDescent="0.35">
      <c r="A89" s="28">
        <v>43891</v>
      </c>
      <c r="B89" s="1">
        <v>145.54166666666666</v>
      </c>
      <c r="C89" s="1">
        <v>154.5</v>
      </c>
      <c r="D89" s="1">
        <v>148.9</v>
      </c>
      <c r="E89" s="1">
        <v>152.30000000000001</v>
      </c>
      <c r="F89" s="1">
        <v>129.9</v>
      </c>
      <c r="G89" s="1">
        <v>156.1</v>
      </c>
    </row>
    <row r="90" spans="1:7" x14ac:dyDescent="0.35">
      <c r="A90" s="28">
        <v>43922</v>
      </c>
      <c r="B90" s="1">
        <v>150.6</v>
      </c>
      <c r="C90" s="1">
        <v>155.6</v>
      </c>
      <c r="D90" s="1">
        <v>144.1</v>
      </c>
      <c r="E90" s="1">
        <v>150.69999999999999</v>
      </c>
      <c r="F90" s="1">
        <v>131.6</v>
      </c>
      <c r="G90" s="1">
        <v>156.19999999999999</v>
      </c>
    </row>
    <row r="91" spans="1:7" x14ac:dyDescent="0.35">
      <c r="A91" s="28">
        <v>43952</v>
      </c>
      <c r="B91" s="1">
        <v>150.83333333333331</v>
      </c>
      <c r="C91" s="1">
        <v>155.15</v>
      </c>
      <c r="D91" s="1">
        <v>143</v>
      </c>
      <c r="E91" s="1">
        <v>152.55000000000001</v>
      </c>
      <c r="F91" s="1">
        <v>133.30000000000001</v>
      </c>
      <c r="G91" s="1">
        <v>156.27000000000001</v>
      </c>
    </row>
    <row r="92" spans="1:7" x14ac:dyDescent="0.35">
      <c r="A92" s="28">
        <v>43983</v>
      </c>
      <c r="B92" s="1">
        <v>151.06666666666669</v>
      </c>
      <c r="C92" s="1">
        <v>154.69999999999999</v>
      </c>
      <c r="D92" s="1">
        <v>141.9</v>
      </c>
      <c r="E92" s="1">
        <v>154.4</v>
      </c>
      <c r="F92" s="1">
        <v>135</v>
      </c>
      <c r="G92" s="1">
        <v>156.4</v>
      </c>
    </row>
    <row r="93" spans="1:7" x14ac:dyDescent="0.35">
      <c r="A93" s="28">
        <v>44013</v>
      </c>
      <c r="B93" s="1">
        <v>151.06666666666669</v>
      </c>
      <c r="C93" s="1">
        <v>154.69999999999999</v>
      </c>
      <c r="D93" s="1">
        <v>141.9</v>
      </c>
      <c r="E93" s="1">
        <v>154.4</v>
      </c>
      <c r="F93" s="1">
        <v>135</v>
      </c>
      <c r="G93" s="1">
        <v>156.4</v>
      </c>
    </row>
    <row r="94" spans="1:7" x14ac:dyDescent="0.35">
      <c r="A94" s="28">
        <v>44044</v>
      </c>
      <c r="B94" s="1">
        <v>153.18333333333331</v>
      </c>
      <c r="C94" s="1">
        <v>155.5</v>
      </c>
      <c r="D94" s="1">
        <v>143</v>
      </c>
      <c r="E94" s="1">
        <v>155</v>
      </c>
      <c r="F94" s="1">
        <v>138.5</v>
      </c>
      <c r="G94" s="1">
        <v>158.5</v>
      </c>
    </row>
    <row r="95" spans="1:7" x14ac:dyDescent="0.35">
      <c r="A95" s="28">
        <v>44075</v>
      </c>
      <c r="B95" s="1">
        <v>154.08333333333334</v>
      </c>
      <c r="C95" s="1">
        <v>156.30000000000001</v>
      </c>
      <c r="D95" s="1">
        <v>142.9</v>
      </c>
      <c r="E95" s="1">
        <v>155.6</v>
      </c>
      <c r="F95" s="1">
        <v>139.6</v>
      </c>
      <c r="G95" s="1">
        <v>157.5</v>
      </c>
    </row>
    <row r="96" spans="1:7" x14ac:dyDescent="0.35">
      <c r="A96" s="28">
        <v>44105</v>
      </c>
      <c r="B96" s="1">
        <v>157.26666666666668</v>
      </c>
      <c r="C96" s="1">
        <v>156.5</v>
      </c>
      <c r="D96" s="1">
        <v>143.1</v>
      </c>
      <c r="E96" s="1">
        <v>156.30000000000001</v>
      </c>
      <c r="F96" s="1">
        <v>140.6</v>
      </c>
      <c r="G96" s="1">
        <v>158.5</v>
      </c>
    </row>
    <row r="97" spans="1:7" x14ac:dyDescent="0.35">
      <c r="A97" s="28">
        <v>44136</v>
      </c>
      <c r="B97" s="1">
        <v>160.90833333333333</v>
      </c>
      <c r="C97" s="1">
        <v>158</v>
      </c>
      <c r="D97" s="1">
        <v>143.6</v>
      </c>
      <c r="E97" s="1">
        <v>157.19999999999999</v>
      </c>
      <c r="F97" s="1">
        <v>140.4</v>
      </c>
      <c r="G97" s="1">
        <v>158.6</v>
      </c>
    </row>
    <row r="98" spans="1:7" x14ac:dyDescent="0.35">
      <c r="A98" s="28">
        <v>44166</v>
      </c>
      <c r="B98" s="1">
        <v>161.97499999999999</v>
      </c>
      <c r="C98" s="1">
        <v>158.4</v>
      </c>
      <c r="D98" s="1">
        <v>144.6</v>
      </c>
      <c r="E98" s="1">
        <v>158.30000000000001</v>
      </c>
      <c r="F98" s="1">
        <v>140.69999999999999</v>
      </c>
      <c r="G98" s="1">
        <v>159.4</v>
      </c>
    </row>
    <row r="99" spans="1:7" x14ac:dyDescent="0.35">
      <c r="A99" s="28">
        <v>44197</v>
      </c>
      <c r="B99" s="1">
        <v>159.62499999999997</v>
      </c>
      <c r="C99" s="1">
        <v>157.69999999999999</v>
      </c>
      <c r="D99" s="1">
        <v>147.9</v>
      </c>
      <c r="E99" s="1">
        <v>159.30000000000001</v>
      </c>
      <c r="F99" s="1">
        <v>141.9</v>
      </c>
      <c r="G99" s="1">
        <v>159.19999999999999</v>
      </c>
    </row>
    <row r="100" spans="1:7" x14ac:dyDescent="0.35">
      <c r="A100" s="28">
        <v>44228</v>
      </c>
      <c r="B100" s="1">
        <v>156.86666666666667</v>
      </c>
      <c r="C100" s="1">
        <v>159.80000000000001</v>
      </c>
      <c r="D100" s="1">
        <v>152.4</v>
      </c>
      <c r="E100" s="1">
        <v>161.30000000000001</v>
      </c>
      <c r="F100" s="1">
        <v>145.1</v>
      </c>
      <c r="G100" s="1">
        <v>159.5</v>
      </c>
    </row>
    <row r="101" spans="1:7" x14ac:dyDescent="0.35">
      <c r="A101" s="28">
        <v>44256</v>
      </c>
      <c r="B101" s="1">
        <v>156.89166666666665</v>
      </c>
      <c r="C101" s="1">
        <v>159.9</v>
      </c>
      <c r="D101" s="1">
        <v>155.5</v>
      </c>
      <c r="E101" s="1">
        <v>161.69999999999999</v>
      </c>
      <c r="F101" s="1">
        <v>146.19999999999999</v>
      </c>
      <c r="G101" s="1">
        <v>160.19999999999999</v>
      </c>
    </row>
    <row r="102" spans="1:7" x14ac:dyDescent="0.35">
      <c r="A102" s="28">
        <v>44287</v>
      </c>
      <c r="B102" s="1">
        <v>158.84166666666667</v>
      </c>
      <c r="C102" s="1">
        <v>161.4</v>
      </c>
      <c r="D102" s="1">
        <v>155.6</v>
      </c>
      <c r="E102" s="1">
        <v>162.30000000000001</v>
      </c>
      <c r="F102" s="1">
        <v>146.6</v>
      </c>
      <c r="G102" s="1">
        <v>160.30000000000001</v>
      </c>
    </row>
    <row r="103" spans="1:7" x14ac:dyDescent="0.35">
      <c r="A103" s="28">
        <v>44317</v>
      </c>
      <c r="B103" s="1">
        <v>162.08333333333334</v>
      </c>
      <c r="C103" s="1">
        <v>161.6</v>
      </c>
      <c r="D103" s="1">
        <v>159.4</v>
      </c>
      <c r="E103" s="1">
        <v>165.8</v>
      </c>
      <c r="F103" s="1">
        <v>148.9</v>
      </c>
      <c r="G103" s="1">
        <v>161.19999999999999</v>
      </c>
    </row>
    <row r="104" spans="1:7" x14ac:dyDescent="0.35">
      <c r="A104" s="28">
        <v>44348</v>
      </c>
      <c r="B104" s="1">
        <v>164.27500000000001</v>
      </c>
      <c r="C104" s="1">
        <v>160.5</v>
      </c>
      <c r="D104" s="1">
        <v>159.80000000000001</v>
      </c>
      <c r="E104" s="1">
        <v>166.3</v>
      </c>
      <c r="F104" s="1">
        <v>150.69999999999999</v>
      </c>
      <c r="G104" s="1">
        <v>161.69999999999999</v>
      </c>
    </row>
    <row r="105" spans="1:7" x14ac:dyDescent="0.35">
      <c r="A105" s="28">
        <v>44378</v>
      </c>
      <c r="B105" s="1">
        <v>165.25000000000003</v>
      </c>
      <c r="C105" s="1">
        <v>161.5</v>
      </c>
      <c r="D105" s="1">
        <v>160.69999999999999</v>
      </c>
      <c r="E105" s="1">
        <v>167</v>
      </c>
      <c r="F105" s="1">
        <v>153.1</v>
      </c>
      <c r="G105" s="1">
        <v>163.19999999999999</v>
      </c>
    </row>
    <row r="106" spans="1:7" x14ac:dyDescent="0.35">
      <c r="A106" s="28">
        <v>44409</v>
      </c>
      <c r="B106" s="1">
        <v>164.83333333333334</v>
      </c>
      <c r="C106" s="1">
        <v>162.1</v>
      </c>
      <c r="D106" s="1">
        <v>162.6</v>
      </c>
      <c r="E106" s="1">
        <v>168.4</v>
      </c>
      <c r="F106" s="1">
        <v>154</v>
      </c>
      <c r="G106" s="1">
        <v>163.80000000000001</v>
      </c>
    </row>
    <row r="107" spans="1:7" x14ac:dyDescent="0.35">
      <c r="A107" s="28">
        <v>44440</v>
      </c>
      <c r="B107" s="1">
        <v>164.83333333333334</v>
      </c>
      <c r="C107" s="1">
        <v>162.1</v>
      </c>
      <c r="D107" s="1">
        <v>162.6</v>
      </c>
      <c r="E107" s="1">
        <v>168.4</v>
      </c>
      <c r="F107" s="1">
        <v>154</v>
      </c>
      <c r="G107" s="1">
        <v>163.69999999999999</v>
      </c>
    </row>
    <row r="108" spans="1:7" x14ac:dyDescent="0.35">
      <c r="A108" s="28">
        <v>44470</v>
      </c>
      <c r="B108" s="1">
        <v>167.31666666666669</v>
      </c>
      <c r="C108" s="1">
        <v>163.6</v>
      </c>
      <c r="D108" s="1">
        <v>164.2</v>
      </c>
      <c r="E108" s="1">
        <v>169.1</v>
      </c>
      <c r="F108" s="1">
        <v>155.69999999999999</v>
      </c>
      <c r="G108" s="1">
        <v>163.9</v>
      </c>
    </row>
    <row r="109" spans="1:7" x14ac:dyDescent="0.35">
      <c r="A109" s="28">
        <v>44501</v>
      </c>
      <c r="B109" s="1">
        <v>168.7</v>
      </c>
      <c r="C109" s="1">
        <v>164.2</v>
      </c>
      <c r="D109" s="1">
        <v>163.9</v>
      </c>
      <c r="E109" s="1">
        <v>169.9</v>
      </c>
      <c r="F109" s="1">
        <v>154.80000000000001</v>
      </c>
      <c r="G109" s="1">
        <v>164.3</v>
      </c>
    </row>
    <row r="110" spans="1:7" x14ac:dyDescent="0.35">
      <c r="A110" s="28">
        <v>44531</v>
      </c>
      <c r="B110" s="1">
        <v>167.72499999999999</v>
      </c>
      <c r="C110" s="1">
        <v>163.4</v>
      </c>
      <c r="D110" s="1">
        <v>164.1</v>
      </c>
      <c r="E110" s="1">
        <v>170.6</v>
      </c>
      <c r="F110" s="1">
        <v>155.69999999999999</v>
      </c>
      <c r="G110" s="1">
        <v>164.4</v>
      </c>
    </row>
    <row r="111" spans="1:7" x14ac:dyDescent="0.35">
      <c r="A111" s="28">
        <v>44562</v>
      </c>
      <c r="B111" s="1">
        <v>166.48333333333332</v>
      </c>
      <c r="C111" s="1">
        <v>164.5</v>
      </c>
      <c r="D111" s="1">
        <v>164.2</v>
      </c>
      <c r="E111" s="1">
        <v>171.4</v>
      </c>
      <c r="F111" s="1">
        <v>156.5</v>
      </c>
      <c r="G111" s="1">
        <v>164.7</v>
      </c>
    </row>
    <row r="112" spans="1:7" x14ac:dyDescent="0.35">
      <c r="A112" s="28">
        <v>44593</v>
      </c>
      <c r="B112" s="1">
        <v>166.25000000000003</v>
      </c>
      <c r="C112" s="1">
        <v>165.5</v>
      </c>
      <c r="D112" s="1">
        <v>165.7</v>
      </c>
      <c r="E112" s="1">
        <v>172.2</v>
      </c>
      <c r="F112" s="1">
        <v>156.9</v>
      </c>
      <c r="G112" s="1">
        <v>165.4</v>
      </c>
    </row>
    <row r="113" spans="1:7" x14ac:dyDescent="0.35">
      <c r="A113" s="28">
        <v>44621</v>
      </c>
      <c r="B113" s="1">
        <v>167.98333333333335</v>
      </c>
      <c r="C113" s="1">
        <v>165.3</v>
      </c>
      <c r="D113" s="1">
        <v>167.2</v>
      </c>
      <c r="E113" s="1">
        <v>173</v>
      </c>
      <c r="F113" s="1">
        <v>157.9</v>
      </c>
      <c r="G113" s="1">
        <v>166</v>
      </c>
    </row>
    <row r="114" spans="1:7" x14ac:dyDescent="0.35">
      <c r="A114" s="28">
        <v>44652</v>
      </c>
      <c r="B114" s="1">
        <v>170.29166666666669</v>
      </c>
      <c r="C114" s="1">
        <v>167</v>
      </c>
      <c r="D114" s="1">
        <v>172.2</v>
      </c>
      <c r="E114" s="1">
        <v>174</v>
      </c>
      <c r="F114" s="1">
        <v>162.6</v>
      </c>
      <c r="G114" s="1">
        <v>166.9</v>
      </c>
    </row>
    <row r="115" spans="1:7" x14ac:dyDescent="0.35">
      <c r="A115" s="28">
        <v>44682</v>
      </c>
      <c r="B115" s="1">
        <v>172.13333333333335</v>
      </c>
      <c r="C115" s="1">
        <v>167.5</v>
      </c>
      <c r="D115" s="1">
        <v>174.6</v>
      </c>
      <c r="E115" s="1">
        <v>174.8</v>
      </c>
      <c r="F115" s="1">
        <v>163</v>
      </c>
      <c r="G115" s="1">
        <v>167.9</v>
      </c>
    </row>
    <row r="116" spans="1:7" x14ac:dyDescent="0.35">
      <c r="A116" s="28">
        <v>44713</v>
      </c>
      <c r="B116" s="1">
        <v>173.91666666666666</v>
      </c>
      <c r="C116" s="1">
        <v>166.8</v>
      </c>
      <c r="D116" s="1">
        <v>176</v>
      </c>
      <c r="E116" s="1">
        <v>175.4</v>
      </c>
      <c r="F116" s="1">
        <v>161.1</v>
      </c>
      <c r="G116" s="1">
        <v>169</v>
      </c>
    </row>
    <row r="117" spans="1:7" x14ac:dyDescent="0.35">
      <c r="A117" s="28">
        <v>44743</v>
      </c>
      <c r="B117" s="1">
        <v>174.27500000000001</v>
      </c>
      <c r="C117" s="1">
        <v>167.8</v>
      </c>
      <c r="D117" s="1">
        <v>179.6</v>
      </c>
      <c r="E117" s="1">
        <v>176.1</v>
      </c>
      <c r="F117" s="1">
        <v>161.6</v>
      </c>
      <c r="G117" s="1">
        <v>171.4</v>
      </c>
    </row>
    <row r="118" spans="1:7" x14ac:dyDescent="0.35">
      <c r="A118" s="28">
        <v>44774</v>
      </c>
      <c r="B118" s="1">
        <v>174.40833333333333</v>
      </c>
      <c r="C118" s="1">
        <v>169</v>
      </c>
      <c r="D118" s="1">
        <v>178.8</v>
      </c>
      <c r="E118" s="1">
        <v>176.8</v>
      </c>
      <c r="F118" s="1">
        <v>161.9</v>
      </c>
      <c r="G118" s="1">
        <v>172.3</v>
      </c>
    </row>
    <row r="119" spans="1:7" x14ac:dyDescent="0.35">
      <c r="A119" s="28">
        <v>44805</v>
      </c>
      <c r="B119" s="1">
        <v>175.25833333333333</v>
      </c>
      <c r="C119" s="1">
        <v>169.5</v>
      </c>
      <c r="D119" s="1">
        <v>179.5</v>
      </c>
      <c r="E119" s="1">
        <v>177.8</v>
      </c>
      <c r="F119" s="1">
        <v>162.30000000000001</v>
      </c>
      <c r="G119" s="1">
        <v>173.1</v>
      </c>
    </row>
    <row r="120" spans="1:7" x14ac:dyDescent="0.35">
      <c r="A120" s="28">
        <v>44835</v>
      </c>
      <c r="B120" s="1">
        <v>176.47500000000002</v>
      </c>
      <c r="C120" s="1">
        <v>171.2</v>
      </c>
      <c r="D120" s="1">
        <v>180.5</v>
      </c>
      <c r="E120" s="1">
        <v>178.7</v>
      </c>
      <c r="F120" s="1">
        <v>162.9</v>
      </c>
      <c r="G120" s="1">
        <v>173.4</v>
      </c>
    </row>
    <row r="121" spans="1:7" x14ac:dyDescent="0.35">
      <c r="A121" s="28">
        <v>44866</v>
      </c>
      <c r="B121" s="1">
        <v>176.54166666666666</v>
      </c>
      <c r="C121" s="1">
        <v>171.8</v>
      </c>
      <c r="D121" s="1">
        <v>181.3</v>
      </c>
      <c r="E121" s="1">
        <v>179.8</v>
      </c>
      <c r="F121" s="1">
        <v>163</v>
      </c>
      <c r="G121" s="1">
        <v>173.7</v>
      </c>
    </row>
    <row r="122" spans="1:7" x14ac:dyDescent="0.35">
      <c r="A122" s="28">
        <v>44896</v>
      </c>
      <c r="B122" s="1">
        <v>175.625</v>
      </c>
      <c r="C122" s="1">
        <v>170.7</v>
      </c>
      <c r="D122" s="1">
        <v>182</v>
      </c>
      <c r="E122" s="1">
        <v>181.1</v>
      </c>
      <c r="F122" s="1">
        <v>163.4</v>
      </c>
      <c r="G122" s="1">
        <v>174.1</v>
      </c>
    </row>
    <row r="123" spans="1:7" x14ac:dyDescent="0.35">
      <c r="A123" s="28">
        <v>44927</v>
      </c>
      <c r="B123" s="1">
        <v>176.33333333333334</v>
      </c>
      <c r="C123" s="1">
        <v>172.1</v>
      </c>
      <c r="D123" s="1">
        <v>182</v>
      </c>
      <c r="E123" s="1">
        <v>182.3</v>
      </c>
      <c r="F123" s="1">
        <v>163.6</v>
      </c>
      <c r="G123" s="1">
        <v>174.3</v>
      </c>
    </row>
    <row r="124" spans="1:7" x14ac:dyDescent="0.35">
      <c r="A124" s="28">
        <v>44958</v>
      </c>
      <c r="B124" s="1">
        <v>175.17499999999998</v>
      </c>
      <c r="C124" s="1">
        <v>173.5</v>
      </c>
      <c r="D124" s="1">
        <v>182.1</v>
      </c>
      <c r="E124" s="1">
        <v>184.4</v>
      </c>
      <c r="F124" s="1">
        <v>164.2</v>
      </c>
      <c r="G124" s="1">
        <v>175</v>
      </c>
    </row>
    <row r="125" spans="1:7" x14ac:dyDescent="0.35">
      <c r="A125" s="28">
        <v>44986</v>
      </c>
      <c r="B125" s="1">
        <v>175.18333333333331</v>
      </c>
      <c r="C125" s="1">
        <v>173.5</v>
      </c>
      <c r="D125" s="1">
        <v>181.9</v>
      </c>
      <c r="E125" s="1">
        <v>184.4</v>
      </c>
      <c r="F125" s="1">
        <v>164.2</v>
      </c>
      <c r="G125" s="1">
        <v>175</v>
      </c>
    </row>
    <row r="126" spans="1:7" x14ac:dyDescent="0.35">
      <c r="A126" s="28">
        <v>45017</v>
      </c>
      <c r="B126" s="1">
        <v>175.97500000000002</v>
      </c>
      <c r="C126" s="1">
        <v>175.2</v>
      </c>
      <c r="D126" s="1">
        <v>181.7</v>
      </c>
      <c r="E126" s="1">
        <v>185</v>
      </c>
      <c r="F126" s="1">
        <v>164.5</v>
      </c>
      <c r="G126" s="1">
        <v>176.4</v>
      </c>
    </row>
    <row r="127" spans="1:7" x14ac:dyDescent="0.35">
      <c r="A127" s="28">
        <v>45047</v>
      </c>
      <c r="B127" s="1">
        <v>177.31666666666669</v>
      </c>
      <c r="C127" s="1">
        <v>175.6</v>
      </c>
      <c r="D127" s="1">
        <v>182.8</v>
      </c>
      <c r="E127" s="1">
        <v>185.7</v>
      </c>
      <c r="F127" s="1">
        <v>164.8</v>
      </c>
      <c r="G127" s="1">
        <v>177.1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5134E-C606-48ED-B0E8-BFFE5CAC416A}">
  <dimension ref="A2:H21"/>
  <sheetViews>
    <sheetView tabSelected="1" zoomScale="77" workbookViewId="0">
      <selection activeCell="C13" sqref="C13"/>
    </sheetView>
  </sheetViews>
  <sheetFormatPr defaultRowHeight="14.5" x14ac:dyDescent="0.35"/>
  <cols>
    <col min="1" max="1" width="12.453125" bestFit="1" customWidth="1"/>
    <col min="2" max="2" width="20.26953125" bestFit="1" customWidth="1"/>
    <col min="3" max="3" width="13.90625" bestFit="1" customWidth="1"/>
    <col min="4" max="4" width="15.36328125" bestFit="1" customWidth="1"/>
    <col min="5" max="5" width="16.6328125" bestFit="1" customWidth="1"/>
    <col min="6" max="6" width="21.08984375" bestFit="1" customWidth="1"/>
    <col min="7" max="7" width="33.6328125" bestFit="1" customWidth="1"/>
    <col min="8" max="8" width="18.36328125" bestFit="1" customWidth="1"/>
  </cols>
  <sheetData>
    <row r="2" spans="1:7" x14ac:dyDescent="0.35">
      <c r="A2" s="2" t="s">
        <v>0</v>
      </c>
      <c r="B2" t="s">
        <v>34</v>
      </c>
    </row>
    <row r="4" spans="1:7" x14ac:dyDescent="0.35">
      <c r="A4" s="2" t="s">
        <v>59</v>
      </c>
      <c r="B4" t="s">
        <v>123</v>
      </c>
      <c r="C4" t="s">
        <v>60</v>
      </c>
      <c r="D4" t="s">
        <v>66</v>
      </c>
      <c r="E4" t="s">
        <v>63</v>
      </c>
      <c r="F4" t="s">
        <v>64</v>
      </c>
      <c r="G4" t="s">
        <v>67</v>
      </c>
    </row>
    <row r="5" spans="1:7" x14ac:dyDescent="0.35">
      <c r="A5" s="28">
        <v>44166</v>
      </c>
      <c r="B5">
        <v>146.6</v>
      </c>
      <c r="C5">
        <v>161.97499999999999</v>
      </c>
      <c r="D5">
        <v>158.30000000000001</v>
      </c>
      <c r="E5">
        <v>158.4</v>
      </c>
      <c r="F5">
        <v>144.6</v>
      </c>
      <c r="G5">
        <v>140.69999999999999</v>
      </c>
    </row>
    <row r="21" spans="2:8" x14ac:dyDescent="0.35">
      <c r="B21" s="61" t="s">
        <v>123</v>
      </c>
      <c r="C21" s="61" t="s">
        <v>60</v>
      </c>
      <c r="D21" s="61" t="s">
        <v>66</v>
      </c>
      <c r="E21" s="61" t="s">
        <v>63</v>
      </c>
      <c r="F21" s="61" t="s">
        <v>64</v>
      </c>
      <c r="G21" s="61" t="s">
        <v>67</v>
      </c>
      <c r="H21" s="61"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All_India_Index_Upto_April23 (1</vt:lpstr>
      <vt:lpstr>CPI_Cleaned Dataset</vt:lpstr>
      <vt:lpstr>Question_1</vt:lpstr>
      <vt:lpstr>Question_2</vt:lpstr>
      <vt:lpstr>Question_3</vt:lpstr>
      <vt:lpstr>Question_4</vt:lpstr>
      <vt:lpstr>Question-5</vt:lpstr>
      <vt:lpstr> CPI Trend</vt:lpstr>
      <vt:lpstr>Sheet7</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Tejpal Singh</dc:creator>
  <cp:lastModifiedBy>Tejpal Singh</cp:lastModifiedBy>
  <dcterms:created xsi:type="dcterms:W3CDTF">2026-07-24T19:38:15Z</dcterms:created>
  <dcterms:modified xsi:type="dcterms:W3CDTF">2026-10-11T07:06:55Z</dcterms:modified>
</cp:coreProperties>
</file>